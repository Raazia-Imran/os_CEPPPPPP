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2311b44e8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7694d3365034c0e"/>
    <x:sheet xmlns:r="http://schemas.openxmlformats.org/officeDocument/2006/relationships" name="Sources" sheetId="2" r:id="R3261fb34e40441b6"/>
    <x:sheet xmlns:r="http://schemas.openxmlformats.org/officeDocument/2006/relationships" name="QA" sheetId="3" r:id="R6f4ea71ed8e44d58"/>
    <x:sheet xmlns:r="http://schemas.openxmlformats.org/officeDocument/2006/relationships" name="Eligibility" sheetId="4" r:id="Rb85a2b2eaac24144"/>
    <x:sheet xmlns:r="http://schemas.openxmlformats.org/officeDocument/2006/relationships" name="Outcomes" sheetId="5" r:id="Rc11a5e5334854eb3"/>
    <x:sheet xmlns:r="http://schemas.openxmlformats.org/officeDocument/2006/relationships" name="Corrections" sheetId="6" r:id="R3650af1189e643ea"/>
    <x:sheet xmlns:r="http://schemas.openxmlformats.org/officeDocument/2006/relationships" name="Survey overlap" sheetId="7" r:id="Rbf9a8f6d00be469a"/>
    <x:sheet xmlns:r="http://schemas.openxmlformats.org/officeDocument/2006/relationships" name="Search log" sheetId="8" r:id="R89ff967231604ce4"/>
    <x:sheet xmlns:r="http://schemas.openxmlformats.org/officeDocument/2006/relationships" name="Review queue" sheetId="9" r:id="R4550620a6f1b4b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5"/>
      <x:name val="Arial"/>
    </x:font>
    <x:font>
      <x:b/>
      <x:sz val="10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color rgb="FF134A7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A56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9C2B15"/>
      </x:font>
      <x:fill>
        <x:patternFill patternType="solid">
          <x:bgColor rgb="FFFCE4D6"/>
        </x:patternFill>
      </x:fill>
    </x:dxf>
    <x:dxf>
      <x:font>
        <x:color rgb="FF9C2B15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2d4474993a466a" /><Relationship Type="http://schemas.openxmlformats.org/officeDocument/2006/relationships/theme" Target="/xl/theme/theme1.xml" Id="R542b7f9a8aef4c04" /><Relationship Type="http://schemas.openxmlformats.org/officeDocument/2006/relationships/sharedStrings" Target="/xl/sharedStrings.xml" Id="R560e65b89f7442fa" /><Relationship Type="http://schemas.openxmlformats.org/officeDocument/2006/relationships/worksheet" Target="/xl/worksheets/sheet1.xml" Id="R87694d3365034c0e" /><Relationship Type="http://schemas.openxmlformats.org/officeDocument/2006/relationships/worksheet" Target="/xl/worksheets/sheet2.xml" Id="R3261fb34e40441b6" /><Relationship Type="http://schemas.openxmlformats.org/officeDocument/2006/relationships/worksheet" Target="/xl/worksheets/sheet3.xml" Id="R6f4ea71ed8e44d58" /><Relationship Type="http://schemas.openxmlformats.org/officeDocument/2006/relationships/worksheet" Target="/xl/worksheets/sheet4.xml" Id="Rb85a2b2eaac24144" /><Relationship Type="http://schemas.openxmlformats.org/officeDocument/2006/relationships/worksheet" Target="/xl/worksheets/sheet5.xml" Id="Rc11a5e5334854eb3" /><Relationship Type="http://schemas.openxmlformats.org/officeDocument/2006/relationships/worksheet" Target="/xl/worksheets/sheet6.xml" Id="R3650af1189e643ea" /><Relationship Type="http://schemas.openxmlformats.org/officeDocument/2006/relationships/worksheet" Target="/xl/worksheets/sheet7.xml" Id="Rbf9a8f6d00be469a" /><Relationship Type="http://schemas.openxmlformats.org/officeDocument/2006/relationships/worksheet" Target="/xl/worksheets/sheet8.xml" Id="R89ff967231604ce4" /><Relationship Type="http://schemas.openxmlformats.org/officeDocument/2006/relationships/worksheet" Target="/xl/worksheets/sheet9.xml" Id="R4550620a6f1b4b0f" /></Relationships>
</file>

<file path=xl/tables/table1.xml><?xml version="1.0" encoding="utf-8"?>
<x:table xmlns:x="http://schemas.openxmlformats.org/spreadsheetml/2006/main" id="1" name="RameenSources" displayName="RameenSources" ref="A1:R7" headerRowCount="1" totalsRowCount="0" totalsRowShown="0">
  <x:tableColumns count="18">
    <x:tableColumn id="1" name="Study ID"/>
    <x:tableColumn id="2" name="Report ID"/>
    <x:tableColumn id="3" name="Title"/>
    <x:tableColumn id="4" name="Year"/>
    <x:tableColumn id="5" name="DOI"/>
    <x:tableColumn id="6" name="Source URL"/>
    <x:tableColumn id="7" name="Version checked"/>
    <x:tableColumn id="8" name="Access status"/>
    <x:tableColumn id="9" name="PDF pages"/>
    <x:tableColumn id="10" name="SHA256"/>
    <x:tableColumn id="11" name="Original QA"/>
    <x:tableColumn id="12" name="Original maximum"/>
    <x:tableColumn id="13" name="Reviewed QA"/>
    <x:tableColumn id="14" name="Reviewed maximum"/>
    <x:tableColumn id="15" name="Reviewer"/>
    <x:tableColumn id="16" name="Checked UTC"/>
    <x:tableColumn id="17" name="Checked PKT"/>
    <x:tableColumn id="18" name="Independent human v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meenQA" displayName="RameenQA" ref="A1:N61" headerRowCount="1" totalsRowCount="0" totalsRowShown="0">
  <x:tableColumns count="14">
    <x:tableColumn id="1" name="Study ID"/>
    <x:tableColumn id="2" name="Report ID"/>
    <x:tableColumn id="3" name="Item ID"/>
    <x:tableColumn id="4" name="Original score"/>
    <x:tableColumn id="5" name="Original maximum"/>
    <x:tableColumn id="6" name="Reviewed score"/>
    <x:tableColumn id="7" name="Reviewed maximum"/>
    <x:tableColumn id="8" name="Status"/>
    <x:tableColumn id="9" name="Rationale"/>
    <x:tableColumn id="10" name="Source anchor"/>
    <x:tableColumn id="11" name="Source URL"/>
    <x:tableColumn id="12" name="Reviewer"/>
    <x:tableColumn id="13" name="Checked UTC"/>
    <x:tableColumn id="14" name="Independent human sco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meenEligibility" displayName="RameenEligibility" ref="A1:K37" headerRowCount="1" totalsRowCount="0" totalsRowShown="0">
  <x:tableColumns count="11">
    <x:tableColumn id="1" name="Study ID"/>
    <x:tableColumn id="2" name="Report ID"/>
    <x:tableColumn id="3" name="Item ID"/>
    <x:tableColumn id="4" name="Original decision"/>
    <x:tableColumn id="5" name="Review decision"/>
    <x:tableColumn id="6" name="Rationale"/>
    <x:tableColumn id="7" name="Source anchor"/>
    <x:tableColumn id="8" name="Source URL"/>
    <x:tableColumn id="9" name="Reviewer"/>
    <x:tableColumn id="10" name="Checked UTC"/>
    <x:tableColumn id="11" name="Independent human deci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ameenOutcomes" displayName="RameenOutcomes" ref="A1:R10" headerRowCount="1" totalsRowCount="0" totalsRowShown="0">
  <x:tableColumns count="18">
    <x:tableColumn id="1" name="Evidence ID"/>
    <x:tableColumn id="2" name="Report ID"/>
    <x:tableColumn id="3" name="Metric"/>
    <x:tableColumn id="4" name="Value"/>
    <x:tableColumn id="5" name="Units"/>
    <x:tableColumn id="6" name="Baseline"/>
    <x:tableColumn id="7" name="Hardware"/>
    <x:tableColumn id="8" name="Workload"/>
    <x:tableColumn id="9" name="Interpretation"/>
    <x:tableColumn id="10" name="Evidence location"/>
    <x:tableColumn id="11" name="Source"/>
    <x:tableColumn id="12" name="Original metric"/>
    <x:tableColumn id="13" name="Original anchor"/>
    <x:tableColumn id="14" name="Review status"/>
    <x:tableColumn id="15" name="Review note"/>
    <x:tableColumn id="16" name="Reviewer"/>
    <x:tableColumn id="17" name="Checked UTC"/>
    <x:tableColumn id="18" name="Independent human v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ameenCorrections" displayName="RameenCorrections" ref="A1:F18" headerRowCount="1" totalsRowCount="0" totalsRowShown="0">
  <x:tableColumns count="6">
    <x:tableColumn id="1" name="Change ID"/>
    <x:tableColumn id="2" name="Scope"/>
    <x:tableColumn id="3" name="Field"/>
    <x:tableColumn id="4" name="Original"/>
    <x:tableColumn id="5" name="Proposed treatment"/>
    <x:tableColumn id="6" name="Ev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ameenSurveyoverlap" displayName="RameenSurveyoverlap" ref="A1:K5" headerRowCount="1" totalsRowCount="0" totalsRowShown="0">
  <x:tableColumns count="11">
    <x:tableColumn id="1" name="ID"/>
    <x:tableColumn id="2" name="Title"/>
    <x:tableColumn id="3" name="Authors"/>
    <x:tableColumn id="4" name="Year"/>
    <x:tableColumn id="5" name="Identifier"/>
    <x:tableColumn id="6" name="Access"/>
    <x:tableColumn id="7" name="Scope"/>
    <x:tableColumn id="8" name="Anchor"/>
    <x:tableColumn id="9" name="Overlap"/>
    <x:tableColumn id="10" name="Implication"/>
    <x:tableColumn id="11" name="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ameenSearchlog" displayName="RameenSearchlog" ref="A1:H5" headerRowCount="1" totalsRowCount="0" totalsRowShown="0">
  <x:tableColumns count="8">
    <x:tableColumn id="1" name="Query ID"/>
    <x:tableColumn id="2" name="Source"/>
    <x:tableColumn id="3" name="Query"/>
    <x:tableColumn id="4" name="Recency days"/>
    <x:tableColumn id="5" name="Started UTC"/>
    <x:tableColumn id="6" name="Completed UTC"/>
    <x:tableColumn id="7" name="Purpose"/>
    <x:tableColumn id="8" name="Coverag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ameenReviewqueue" displayName="RameenReviewqueue" ref="A1:I9" headerRowCount="1" totalsRowCount="0" totalsRowShown="0">
  <x:tableColumns count="9">
    <x:tableColumn id="1" name="Report ID"/>
    <x:tableColumn id="2" name="Assigned first reviewer"/>
    <x:tableColumn id="3" name="Assigned independent reviewer"/>
    <x:tableColumn id="4" name="Status"/>
    <x:tableColumn id="5" name="Required items"/>
    <x:tableColumn id="6" name="Actual reviewer"/>
    <x:tableColumn id="7" name="Checked UTC"/>
    <x:tableColumn id="8" name="Decision"/>
    <x:tableColumn id="9" name="Disagreement resolu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8ca7a08af449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d867b92de14d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e2277d979e49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e2a57bb48245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fd5587d9e649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0297d8782b45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e7f2d971624e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c19390cec145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24" hidden="0" customWidth="1"/>
    <x:col min="11" max="11" width="14" hidden="0" customWidth="1"/>
  </x:cols>
  <x:sheetData>
    <x:row r="2">
      <x:c r="A2" s="1" t="str">
        <x:v>Rameen source review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S015-S020. Proposed appraisals and corrections await teammate adjudication.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38" customHeight="1">
      <x:c r="A5" s="7" t="str">
        <x:v>Study</x:v>
      </x:c>
      <x:c r="B5" s="7" t="str">
        <x:v>Full-text status</x:v>
      </x:c>
      <x:c r="C5" s="7" t="str">
        <x:v>QA assessed</x:v>
      </x:c>
      <x:c r="D5" s="7" t="str">
        <x:v>QA pending</x:v>
      </x:c>
      <x:c r="E5" s="7" t="str">
        <x:v>Original QA</x:v>
      </x:c>
      <x:c r="F5" s="7" t="str">
        <x:v>Proposed QA</x:v>
      </x:c>
      <x:c r="G5" s="7" t="str">
        <x:v>Proposed max</x:v>
      </x:c>
      <x:c r="H5" s="7" t="str">
        <x:v>Human signoff</x:v>
      </x:c>
      <x:c r="I5" s="4"/>
      <x:c r="J5" s="6" t="str">
        <x:v>Item</x:v>
      </x:c>
      <x:c r="K5" s="6" t="str">
        <x:v>Count</x:v>
      </x:c>
    </x:row>
    <x:row r="6" ht="30" customHeight="1">
      <x:c r="A6" s="4" t="str">
        <x:v>S015 / P015</x:v>
      </x:c>
      <x:c r="B6" s="4" t="str">
        <x:v>Full text inspected</x:v>
      </x:c>
      <x:c r="C6" s="4" t="n">
        <x:f>COUNTIFS(QA!$B$2:$B$61,"P015",QA!$H$2:$H$61,"Assessed")</x:f>
        <x:v>10</x:v>
      </x:c>
      <x:c r="D6" s="4" t="n">
        <x:f>COUNTIFS(QA!$B$2:$B$61,"P015",QA!$H$2:$H$61,"Pending full text")</x:f>
        <x:v>0</x:v>
      </x:c>
      <x:c r="E6" s="4" t="n">
        <x:v>16</x:v>
      </x:c>
      <x:c r="F6" s="4" t="n">
        <x:f>IF(C6=0,"",SUMIF(QA!$B$2:$B$61,"P015",QA!$F$2:$F$61))</x:f>
        <x:v>18</x:v>
      </x:c>
      <x:c r="G6" s="4" t="n">
        <x:f>IF(C6=0,"",SUMIF(QA!$B$2:$B$61,"P015",QA!$G$2:$G$61))</x:f>
        <x:v>20</x:v>
      </x:c>
      <x:c r="H6" s="4" t="str">
        <x:v>Pending</x:v>
      </x:c>
      <x:c r="I6" s="4"/>
      <x:c r="J6" s="4" t="str">
        <x:v>Sources inspected</x:v>
      </x:c>
      <x:c r="K6" s="4" t="n">
        <x:f>COUNTIF(Sources!$H$2:$H$7,"Full text inspected")</x:f>
        <x:v>6</x:v>
      </x:c>
    </x:row>
    <x:row r="7" ht="30" customHeight="1">
      <x:c r="A7" s="4" t="str">
        <x:v>S016 / P018</x:v>
      </x:c>
      <x:c r="B7" s="4" t="str">
        <x:v>Full text inspected</x:v>
      </x:c>
      <x:c r="C7" s="4" t="n">
        <x:f>COUNTIFS(QA!$B$2:$B$61,"P018",QA!$H$2:$H$61,"Assessed")</x:f>
        <x:v>10</x:v>
      </x:c>
      <x:c r="D7" s="4" t="n">
        <x:f>COUNTIFS(QA!$B$2:$B$61,"P018",QA!$H$2:$H$61,"Pending full text")</x:f>
        <x:v>0</x:v>
      </x:c>
      <x:c r="E7" s="4" t="n">
        <x:v>15</x:v>
      </x:c>
      <x:c r="F7" s="4" t="n">
        <x:f>IF(C7=0,"",SUMIF(QA!$B$2:$B$61,"P018",QA!$F$2:$F$61))</x:f>
        <x:v>17</x:v>
      </x:c>
      <x:c r="G7" s="4" t="n">
        <x:f>IF(C7=0,"",SUMIF(QA!$B$2:$B$61,"P018",QA!$G$2:$G$61))</x:f>
        <x:v>20</x:v>
      </x:c>
      <x:c r="H7" s="4" t="str">
        <x:v>Pending</x:v>
      </x:c>
      <x:c r="I7" s="4"/>
      <x:c r="J7" s="4" t="str">
        <x:v>Sources pending</x:v>
      </x:c>
      <x:c r="K7" s="4" t="n">
        <x:f>COUNTIF(Sources!$H$2:$H$7,"Full text unavailable")</x:f>
        <x:v>0</x:v>
      </x:c>
    </x:row>
    <x:row r="8" ht="30" customHeight="1">
      <x:c r="A8" s="4" t="str">
        <x:v>S017 / P019</x:v>
      </x:c>
      <x:c r="B8" s="4" t="str">
        <x:v>Full text inspected</x:v>
      </x:c>
      <x:c r="C8" s="4" t="n">
        <x:f>COUNTIFS(QA!$B$2:$B$61,"P019",QA!$H$2:$H$61,"Assessed")</x:f>
        <x:v>10</x:v>
      </x:c>
      <x:c r="D8" s="4" t="n">
        <x:f>COUNTIFS(QA!$B$2:$B$61,"P019",QA!$H$2:$H$61,"Pending full text")</x:f>
        <x:v>0</x:v>
      </x:c>
      <x:c r="E8" s="4" t="n">
        <x:v>16</x:v>
      </x:c>
      <x:c r="F8" s="4" t="n">
        <x:f>IF(C8=0,"",SUMIF(QA!$B$2:$B$61,"P019",QA!$F$2:$F$61))</x:f>
        <x:v>16</x:v>
      </x:c>
      <x:c r="G8" s="4" t="n">
        <x:f>IF(C8=0,"",SUMIF(QA!$B$2:$B$61,"P019",QA!$G$2:$G$61))</x:f>
        <x:v>20</x:v>
      </x:c>
      <x:c r="H8" s="4" t="str">
        <x:v>Pending</x:v>
      </x:c>
      <x:c r="I8" s="4"/>
      <x:c r="J8" s="4" t="str">
        <x:v>Eligibility checked</x:v>
      </x:c>
      <x:c r="K8" s="4" t="n">
        <x:f>COUNTIF(Eligibility!$E$2:$E$37,"Supported in accessed version")</x:f>
        <x:v>36</x:v>
      </x:c>
    </x:row>
    <x:row r="9" ht="30" customHeight="1">
      <x:c r="A9" s="4" t="str">
        <x:v>S018 / P020</x:v>
      </x:c>
      <x:c r="B9" s="4" t="str">
        <x:v>Full text inspected</x:v>
      </x:c>
      <x:c r="C9" s="4" t="n">
        <x:f>COUNTIFS(QA!$B$2:$B$61,"P020",QA!$H$2:$H$61,"Assessed")</x:f>
        <x:v>10</x:v>
      </x:c>
      <x:c r="D9" s="4" t="n">
        <x:f>COUNTIFS(QA!$B$2:$B$61,"P020",QA!$H$2:$H$61,"Pending full text")</x:f>
        <x:v>0</x:v>
      </x:c>
      <x:c r="E9" s="4" t="n">
        <x:v>15</x:v>
      </x:c>
      <x:c r="F9" s="4" t="n">
        <x:f>IF(C9=0,"",SUMIF(QA!$B$2:$B$61,"P020",QA!$F$2:$F$61))</x:f>
        <x:v>15</x:v>
      </x:c>
      <x:c r="G9" s="4" t="n">
        <x:f>IF(C9=0,"",SUMIF(QA!$B$2:$B$61,"P020",QA!$G$2:$G$61))</x:f>
        <x:v>20</x:v>
      </x:c>
      <x:c r="H9" s="4" t="str">
        <x:v>Pending</x:v>
      </x:c>
      <x:c r="I9" s="4"/>
      <x:c r="J9" s="4" t="str">
        <x:v>Eligibility pending</x:v>
      </x:c>
      <x:c r="K9" s="4" t="n">
        <x:f>COUNTIF(Eligibility!$E$2:$E$37,"Pending full text")</x:f>
        <x:v>0</x:v>
      </x:c>
    </x:row>
    <x:row r="10" ht="30" customHeight="1">
      <x:c r="A10" s="4" t="str">
        <x:v>S019 / P021</x:v>
      </x:c>
      <x:c r="B10" s="4" t="str">
        <x:v>Full text inspected</x:v>
      </x:c>
      <x:c r="C10" s="4" t="n">
        <x:f>COUNTIFS(QA!$B$2:$B$61,"P021",QA!$H$2:$H$61,"Assessed")</x:f>
        <x:v>10</x:v>
      </x:c>
      <x:c r="D10" s="4" t="n">
        <x:f>COUNTIFS(QA!$B$2:$B$61,"P021",QA!$H$2:$H$61,"Pending full text")</x:f>
        <x:v>0</x:v>
      </x:c>
      <x:c r="E10" s="4" t="n">
        <x:v>16</x:v>
      </x:c>
      <x:c r="F10" s="4" t="n">
        <x:f>IF(C10=0,"",SUMIF(QA!$B$2:$B$61,"P021",QA!$F$2:$F$61))</x:f>
        <x:v>18</x:v>
      </x:c>
      <x:c r="G10" s="4" t="n">
        <x:f>IF(C10=0,"",SUMIF(QA!$B$2:$B$61,"P021",QA!$G$2:$G$61))</x:f>
        <x:v>20</x:v>
      </x:c>
      <x:c r="H10" s="4" t="str">
        <x:v>Pending</x:v>
      </x:c>
      <x:c r="I10" s="4"/>
      <x:c r="J10" s="4" t="str">
        <x:v>Outcomes checked</x:v>
      </x:c>
      <x:c r="K10" s="4" t="n">
        <x:f>COUNTIF(Outcomes!$N$2:$N$10,"Value and context checked")</x:f>
        <x:v>9</x:v>
      </x:c>
    </x:row>
    <x:row r="11" ht="30" customHeight="1">
      <x:c r="A11" s="4" t="str">
        <x:v>S020 / P022</x:v>
      </x:c>
      <x:c r="B11" s="4" t="str">
        <x:v>Full text inspected</x:v>
      </x:c>
      <x:c r="C11" s="4" t="n">
        <x:f>COUNTIFS(QA!$B$2:$B$61,"P022",QA!$H$2:$H$61,"Assessed")</x:f>
        <x:v>10</x:v>
      </x:c>
      <x:c r="D11" s="4" t="n">
        <x:f>COUNTIFS(QA!$B$2:$B$61,"P022",QA!$H$2:$H$61,"Pending full text")</x:f>
        <x:v>0</x:v>
      </x:c>
      <x:c r="E11" s="4" t="n">
        <x:v>17</x:v>
      </x:c>
      <x:c r="F11" s="4" t="n">
        <x:f>IF(C11=0,"",SUMIF(QA!$B$2:$B$61,"P022",QA!$F$2:$F$61))</x:f>
        <x:v>19</x:v>
      </x:c>
      <x:c r="G11" s="4" t="n">
        <x:f>IF(C11=0,"",SUMIF(QA!$B$2:$B$61,"P022",QA!$G$2:$G$61))</x:f>
        <x:v>20</x:v>
      </x:c>
      <x:c r="H11" s="4" t="str">
        <x:v>Pending</x:v>
      </x:c>
      <x:c r="I11" s="4"/>
      <x:c r="J11" s="4" t="str">
        <x:v>Outcomes pending</x:v>
      </x:c>
      <x:c r="K11" s="4" t="n">
        <x:f>COUNTIF(Outcomes!$N$2:$N$10,"Pending full text")</x:f>
        <x:v>0</x:v>
      </x:c>
    </x:row>
    <x:row r="12" ht="30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</x:row>
    <x:row r="13" ht="30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</x:row>
    <x:row r="14" ht="30" customHeight="1">
      <x:c r="A14" s="4" t="str">
        <x:v>Review boundary</x:v>
      </x:c>
      <x:c r="B14" s="4" t="str">
        <x:v>Status</x:v>
      </x:c>
      <x:c r="C14" s="4"/>
      <x:c r="D14" s="4"/>
      <x:c r="E14" s="4"/>
      <x:c r="F14" s="4"/>
      <x:c r="G14" s="4"/>
      <x:c r="H14" s="4"/>
      <x:c r="I14" s="4"/>
      <x:c r="J14" s="4"/>
      <x:c r="K14" s="4"/>
    </x:row>
    <x:row r="15" ht="30" customHeight="1">
      <x:c r="A15" s="4" t="str">
        <x:v>Independent human signoff</x:v>
      </x:c>
      <x:c r="B15" s="4" t="str">
        <x:v>Pending</x:v>
      </x:c>
      <x:c r="C15" s="4"/>
      <x:c r="D15" s="4"/>
      <x:c r="E15" s="4"/>
      <x:c r="F15" s="4"/>
      <x:c r="G15" s="4"/>
      <x:c r="H15" s="4"/>
      <x:c r="I15" s="4"/>
      <x:c r="J15" s="4"/>
      <x:c r="K15" s="4"/>
    </x:row>
    <x:row r="16" ht="30" customHeight="1">
      <x:c r="A16" s="4" t="str">
        <x:v>Instructor scope acceptance</x:v>
      </x:c>
      <x:c r="B16" s="4" t="str">
        <x:v>Pending</x:v>
      </x:c>
      <x:c r="C16" s="4"/>
      <x:c r="D16" s="4"/>
      <x:c r="E16" s="4"/>
      <x:c r="F16" s="4"/>
      <x:c r="G16" s="4"/>
      <x:c r="H16" s="4"/>
      <x:c r="I16" s="4"/>
      <x:c r="J16" s="4"/>
      <x:c r="K16" s="4"/>
    </x:row>
    <x:row r="17" ht="30" customHeight="1">
      <x:c r="A17" s="4" t="str">
        <x:v>Retained records unassessed</x:v>
      </x:c>
      <x:c r="B17" s="4" t="n">
        <x:v>559</x:v>
      </x:c>
      <x:c r="C17" s="4"/>
      <x:c r="D17" s="4"/>
      <x:c r="E17" s="4"/>
      <x:c r="F17" s="4"/>
      <x:c r="G17" s="4"/>
      <x:c r="H17" s="4"/>
      <x:c r="I17" s="4"/>
      <x:c r="J17" s="4"/>
      <x:c r="K17" s="4"/>
    </x:row>
    <x:row r="18" ht="48" customHeight="1">
      <x:c r="A18" s="4" t="str">
        <x:v>Master workbook</x:v>
      </x:c>
      <x:c r="B18" s="8" t="str">
        <x:v>Source corrections integrated; human signoff pending</x:v>
      </x:c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48" customHeight="1">
      <x:c r="A19" s="4" t="str">
        <x:v>Attribution</x:v>
      </x:c>
      <x:c r="B19" s="8" t="str">
        <x:v>AI assistant preparing Rameen assignment at Raazia request</x:v>
      </x:c>
      <x:c r="C19" s="4"/>
      <x:c r="D19" s="4"/>
      <x:c r="E19" s="4"/>
      <x:c r="F19" s="4"/>
      <x:c r="G19" s="4"/>
      <x:c r="H19" s="4"/>
      <x:c r="I19" s="4"/>
      <x:c r="J19" s="4"/>
      <x:c r="K19" s="4"/>
    </x:row>
  </x:sheetData>
  <x:conditionalFormatting sqref="B6:B11">
    <x:cfRule type="containsText" dxfId="0" priority="1" operator="containsText" text="unavailabl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70" hidden="0" customWidth="1"/>
    <x:col min="4" max="4" width="12" hidden="0" customWidth="1"/>
    <x:col min="5" max="5" width="40" hidden="0" customWidth="1"/>
    <x:col min="6" max="6" width="68" hidden="0" customWidth="1"/>
    <x:col min="7" max="7" width="82" hidden="0" customWidth="1"/>
    <x:col min="8" max="8" width="29" hidden="0" customWidth="1"/>
    <x:col min="9" max="9" width="12" hidden="0" customWidth="1"/>
    <x:col min="10" max="10" width="70" hidden="0" customWidth="1"/>
    <x:col min="11" max="11" width="17" hidden="0" customWidth="1"/>
    <x:col min="12" max="12" width="18" hidden="0" customWidth="1"/>
    <x:col min="13" max="13" width="18" hidden="0" customWidth="1"/>
    <x:col min="14" max="14" width="18" hidden="0" customWidth="1"/>
    <x:col min="15" max="15" width="65" hidden="0" customWidth="1"/>
    <x:col min="16" max="16" width="30" hidden="0" customWidth="1"/>
    <x:col min="17" max="17" width="30" hidden="0" customWidth="1"/>
    <x:col min="18" max="18" width="25" hidden="0" customWidth="1"/>
  </x:cols>
  <x:sheetData>
    <x:row r="1" ht="42" customHeight="1">
      <x:c r="A1" s="13" t="str">
        <x:v>Study ID</x:v>
      </x:c>
      <x:c r="B1" s="13" t="str">
        <x:v>Report ID</x:v>
      </x:c>
      <x:c r="C1" s="13" t="str">
        <x:v>Title</x:v>
      </x:c>
      <x:c r="D1" s="13" t="str">
        <x:v>Year</x:v>
      </x:c>
      <x:c r="E1" s="13" t="str">
        <x:v>DOI</x:v>
      </x:c>
      <x:c r="F1" s="13" t="str">
        <x:v>Source URL</x:v>
      </x:c>
      <x:c r="G1" s="13" t="str">
        <x:v>Version checked</x:v>
      </x:c>
      <x:c r="H1" s="13" t="str">
        <x:v>Access status</x:v>
      </x:c>
      <x:c r="I1" s="13" t="str">
        <x:v>PDF pages</x:v>
      </x:c>
      <x:c r="J1" s="13" t="str">
        <x:v>SHA256</x:v>
      </x:c>
      <x:c r="K1" s="13" t="str">
        <x:v>Original QA</x:v>
      </x:c>
      <x:c r="L1" s="13" t="str">
        <x:v>Original maximum</x:v>
      </x:c>
      <x:c r="M1" s="13" t="str">
        <x:v>Reviewed QA</x:v>
      </x:c>
      <x:c r="N1" s="13" t="str">
        <x:v>Reviewed maximum</x:v>
      </x:c>
      <x:c r="O1" s="13" t="str">
        <x:v>Reviewer</x:v>
      </x:c>
      <x:c r="P1" s="13" t="str">
        <x:v>Checked UTC</x:v>
      </x:c>
      <x:c r="Q1" s="13" t="str">
        <x:v>Checked PKT</x:v>
      </x:c>
      <x:c r="R1" s="13" t="str">
        <x:v>Independent human vote</x:v>
      </x:c>
    </x:row>
    <x:row r="2" ht="90" customHeight="1">
      <x:c r="A2" s="10" t="str">
        <x:v>S015</x:v>
      </x:c>
      <x:c r="B2" s="10" t="str">
        <x:v>P015</x:v>
      </x:c>
      <x:c r="C2" s="10" t="str">
        <x:v>XSched: Preemptive Scheduling for Diverse XPUs</x:v>
      </x:c>
      <x:c r="D2" s="10" t="n">
        <x:v>2025</x:v>
      </x:c>
      <x:c r="E2" s="10" t="str">
        <x:v>USENIX proceedings (no DOI assigned)</x:v>
      </x:c>
      <x:c r="F2" s="10" t="str">
        <x:v>https://www.usenix.org/system/files/osdi25-shen-weihang.pdf</x:v>
      </x:c>
      <x:c r="G2" s="10" t="str">
        <x:v>USENIX proceedings PDF with cover; printed pp671-692</x:v>
      </x:c>
      <x:c r="H2" s="10" t="str">
        <x:v>Full text inspected</x:v>
      </x:c>
      <x:c r="I2" s="10" t="n">
        <x:v>23</x:v>
      </x:c>
      <x:c r="J2" s="10" t="str">
        <x:v>b25305be75363bd0d39564dd4bb3dd8fafc7c5ce25f3f4e95cf74c2c5fd3c76f</x:v>
      </x:c>
      <x:c r="K2" s="10" t="n">
        <x:v>16</x:v>
      </x:c>
      <x:c r="L2" s="10" t="n">
        <x:v>18</x:v>
      </x:c>
      <x:c r="M2" s="10" t="n">
        <x:v>18</x:v>
      </x:c>
      <x:c r="N2" s="10" t="n">
        <x:v>20</x:v>
      </x:c>
      <x:c r="O2" s="10" t="str">
        <x:v>AI assistant preparing Rameen assignment at Raazia request</x:v>
      </x:c>
      <x:c r="P2" s="10" t="d">
        <x:v>2026-10-22T08:47:26.581Z</x:v>
      </x:c>
      <x:c r="Q2" s="10" t="d">
        <x:v>2026-10-22T08:47:26.582Z</x:v>
      </x:c>
      <x:c r="R2" s="10" t="str"/>
    </x:row>
    <x:row r="3" ht="90" customHeight="1">
      <x:c r="A3" s="10" t="str">
        <x:v>S016</x:v>
      </x:c>
      <x:c r="B3" s="10" t="str">
        <x:v>P018</x:v>
      </x:c>
      <x:c r="C3" s="10" t="str">
        <x:v>InferFair: Towards QoS-aware scheduling for performance isolation guarantee in heterogeneous model serving systems</x:v>
      </x:c>
      <x:c r="D3" s="10" t="n">
        <x:v>2024</x:v>
      </x:c>
      <x:c r="E3" s="10" t="str">
        <x:v>10.1016/j.future.2023.08.020</x:v>
      </x:c>
      <x:c r="F3" s="10" t="str">
        <x:v>https://www.sciencedirect.com/science/article/pii/S0167739X23003187</x:v>
      </x:c>
      <x:c r="G3" s="10" t="str">
        <x:v>User-supplied Elsevier typeset article;FGCS150(2024),10-20;DOI matched onPDFp1</x:v>
      </x:c>
      <x:c r="H3" s="10" t="str">
        <x:v>Full text inspected</x:v>
      </x:c>
      <x:c r="I3" s="10" t="n">
        <x:v>11</x:v>
      </x:c>
      <x:c r="J3" s="10" t="str">
        <x:v>414674846b409996ba1eb075ecdf48b2ae31e6c698f362b72b996fe3a8d4b1e4</x:v>
      </x:c>
      <x:c r="K3" s="10" t="n">
        <x:v>15</x:v>
      </x:c>
      <x:c r="L3" s="10" t="n">
        <x:v>20</x:v>
      </x:c>
      <x:c r="M3" s="10" t="n">
        <x:v>17</x:v>
      </x:c>
      <x:c r="N3" s="10" t="n">
        <x:v>20</x:v>
      </x:c>
      <x:c r="O3" s="10" t="str">
        <x:v>AI assistant preparing Rameen assignment at Raazia request</x:v>
      </x:c>
      <x:c r="P3" s="10" t="d">
        <x:v>2026-10-22T10:36:03.422Z</x:v>
      </x:c>
      <x:c r="Q3" s="10" t="d">
        <x:v>2026-10-22T10:36:03.422Z</x:v>
      </x:c>
      <x:c r="R3" s="10" t="str"/>
    </x:row>
    <x:row r="4" ht="90" customHeight="1">
      <x:c r="A4" s="10" t="str">
        <x:v>S017</x:v>
      </x:c>
      <x:c r="B4" s="10" t="str">
        <x:v>P019</x:v>
      </x:c>
      <x:c r="C4" s="10" t="str">
        <x:v>ArkGPU: enabling applications' high-goodput co-location execution on multitasking GPUs</x:v>
      </x:c>
      <x:c r="D4" s="10" t="n">
        <x:v>2023</x:v>
      </x:c>
      <x:c r="E4" s="10" t="str">
        <x:v>10.1007/s42514-023-00154-y</x:v>
      </x:c>
      <x:c r="F4" s="10" t="str">
        <x:v>https://doi.org/10.1007/s42514-023-00154-y</x:v>
      </x:c>
      <x:c r="G4" s="10" t="str">
        <x:v>User-supplied publisher typeset PDF; title, DOI, year and journal matched on first page</x:v>
      </x:c>
      <x:c r="H4" s="10" t="str">
        <x:v>Full text inspected</x:v>
      </x:c>
      <x:c r="I4" s="10" t="n">
        <x:v>18</x:v>
      </x:c>
      <x:c r="J4" s="10" t="str">
        <x:v>428d2eda6ac81fe486e709b63ce6da1a4f5f0d83ac39307ca29a6a1239fe69c1</x:v>
      </x:c>
      <x:c r="K4" s="10" t="n">
        <x:v>16</x:v>
      </x:c>
      <x:c r="L4" s="10" t="n">
        <x:v>20</x:v>
      </x:c>
      <x:c r="M4" s="10" t="n">
        <x:v>16</x:v>
      </x:c>
      <x:c r="N4" s="10" t="n">
        <x:v>20</x:v>
      </x:c>
      <x:c r="O4" s="10" t="str">
        <x:v>AI assistant preparing Rameen assignment at Raazia request</x:v>
      </x:c>
      <x:c r="P4" s="10" t="d">
        <x:v>2026-10-22T09:45:36.755Z</x:v>
      </x:c>
      <x:c r="Q4" s="10" t="d">
        <x:v>2026-10-22T09:45:36.755Z</x:v>
      </x:c>
      <x:c r="R4" s="10" t="str"/>
    </x:row>
    <x:row r="5" ht="90" customHeight="1">
      <x:c r="A5" s="10" t="str">
        <x:v>S018</x:v>
      </x:c>
      <x:c r="B5" s="10" t="str">
        <x:v>P020</x:v>
      </x:c>
      <x:c r="C5" s="10" t="str">
        <x:v>Dyna-P: placement-aware dynamic partitioning for lightweight applications with modern GPUs</x:v>
      </x:c>
      <x:c r="D5" s="10" t="n">
        <x:v>2025</x:v>
      </x:c>
      <x:c r="E5" s="10" t="str">
        <x:v>10.1007/s10586-025-05284-2</x:v>
      </x:c>
      <x:c r="F5" s="10" t="str">
        <x:v>https://doi.org/10.1007/s10586-025-05284-2</x:v>
      </x:c>
      <x:c r="G5" s="10" t="str">
        <x:v>User-supplied publisher typeset PDF; title, DOI, year and journal matched on first page</x:v>
      </x:c>
      <x:c r="H5" s="10" t="str">
        <x:v>Full text inspected</x:v>
      </x:c>
      <x:c r="I5" s="10" t="n">
        <x:v>19</x:v>
      </x:c>
      <x:c r="J5" s="10" t="str">
        <x:v>70b7419d0903964fe05f7b2bdbc65a1ce0039848e4640b65dcefb4ed02de3e08</x:v>
      </x:c>
      <x:c r="K5" s="10" t="n">
        <x:v>15</x:v>
      </x:c>
      <x:c r="L5" s="10" t="n">
        <x:v>20</x:v>
      </x:c>
      <x:c r="M5" s="10" t="n">
        <x:v>15</x:v>
      </x:c>
      <x:c r="N5" s="10" t="n">
        <x:v>20</x:v>
      </x:c>
      <x:c r="O5" s="10" t="str">
        <x:v>AI assistant preparing Rameen assignment at Raazia request</x:v>
      </x:c>
      <x:c r="P5" s="10" t="d">
        <x:v>2026-10-22T09:45:36.755Z</x:v>
      </x:c>
      <x:c r="Q5" s="10" t="d">
        <x:v>2026-10-22T09:45:36.755Z</x:v>
      </x:c>
      <x:c r="R5" s="10" t="str"/>
    </x:row>
    <x:row r="6" ht="90" customHeight="1">
      <x:c r="A6" s="10" t="str">
        <x:v>S019</x:v>
      </x:c>
      <x:c r="B6" s="10" t="str">
        <x:v>P021</x:v>
      </x:c>
      <x:c r="C6" s="10" t="str">
        <x:v>KRISP: Enabling Kernel-wise RIght-sizing for Spatial Partitioned GPU Inference Servers</x:v>
      </x:c>
      <x:c r="D6" s="10" t="n">
        <x:v>2023</x:v>
      </x:c>
      <x:c r="E6" s="10" t="str">
        <x:v>10.1109/HPCA56546.2023.10071121</x:v>
      </x:c>
      <x:c r="F6" s="10" t="str">
        <x:v>https://danielwong.org/files/KRISP-HPCA2023.pdf</x:v>
      </x:c>
      <x:c r="G6" s="10" t="str">
        <x:v>Author-hosted 14-page HPCA manuscript; IEEE DOI identity confirmed; exact publisher-byte equivalence unverified</x:v>
      </x:c>
      <x:c r="H6" s="10" t="str">
        <x:v>Full text inspected</x:v>
      </x:c>
      <x:c r="I6" s="10" t="n">
        <x:v>14</x:v>
      </x:c>
      <x:c r="J6" s="10" t="str">
        <x:v>5a32bf912d0b75169afa56d27a66ab81ec0b4e9878405954400c64a5694d4fda</x:v>
      </x:c>
      <x:c r="K6" s="10" t="n">
        <x:v>16</x:v>
      </x:c>
      <x:c r="L6" s="10" t="n">
        <x:v>20</x:v>
      </x:c>
      <x:c r="M6" s="10" t="n">
        <x:v>18</x:v>
      </x:c>
      <x:c r="N6" s="10" t="n">
        <x:v>20</x:v>
      </x:c>
      <x:c r="O6" s="10" t="str">
        <x:v>AI assistant preparing Rameen assignment at Raazia request</x:v>
      </x:c>
      <x:c r="P6" s="10" t="d">
        <x:v>2026-10-22T08:47:26.581Z</x:v>
      </x:c>
      <x:c r="Q6" s="10" t="d">
        <x:v>2026-10-22T08:47:26.582Z</x:v>
      </x:c>
      <x:c r="R6" s="10" t="str"/>
    </x:row>
    <x:row r="7" ht="90" customHeight="1">
      <x:c r="A7" s="10" t="str">
        <x:v>S020</x:v>
      </x:c>
      <x:c r="B7" s="10" t="str">
        <x:v>P022</x:v>
      </x:c>
      <x:c r="C7" s="10" t="str">
        <x:v>Tally: Non-Intrusive Performance Isolation for Concurrent Deep Learning Workloads</x:v>
      </x:c>
      <x:c r="D7" s="10" t="n">
        <x:v>2025</x:v>
      </x:c>
      <x:c r="E7" s="10" t="str">
        <x:v>10.1145/3669940.3707282</x:v>
      </x:c>
      <x:c r="F7" s="10" t="str">
        <x:v>https://arxiv.org/pdf/2410.07381v3</x:v>
      </x:c>
      <x:c r="G7" s="10" t="str">
        <x:v>arXiv v3, 28 February 2025; ASPLOS 2025 DOI/ISBN/conference footer present; publisher-byte equivalence not asserted</x:v>
      </x:c>
      <x:c r="H7" s="10" t="str">
        <x:v>Full text inspected</x:v>
      </x:c>
      <x:c r="I7" s="10" t="n">
        <x:v>17</x:v>
      </x:c>
      <x:c r="J7" s="10" t="str">
        <x:v>27e82c82b0659d49207e91cb4ad9addfd92e48658f4c987ad5f5c5057f6de95d</x:v>
      </x:c>
      <x:c r="K7" s="10" t="n">
        <x:v>17</x:v>
      </x:c>
      <x:c r="L7" s="10" t="n">
        <x:v>20</x:v>
      </x:c>
      <x:c r="M7" s="10" t="n">
        <x:v>19</x:v>
      </x:c>
      <x:c r="N7" s="10" t="n">
        <x:v>20</x:v>
      </x:c>
      <x:c r="O7" s="10" t="str">
        <x:v>AI assistant preparing Rameen assignment at Raazia request</x:v>
      </x:c>
      <x:c r="P7" s="10" t="d">
        <x:v>2026-10-22T08:47:26.581Z</x:v>
      </x:c>
      <x:c r="Q7" s="10" t="d">
        <x:v>2026-10-22T08:47:26.582Z</x:v>
      </x:c>
      <x:c r="R7" s="10" t="str"/>
    </x:row>
  </x:sheetData>
  <x:pageMargins left="0.7" right="0.7" top="0.75" bottom="0.75" header="0.3" footer="0.3"/>
  <x:tableParts count="1">
    <x:tablePart xmlns:r="http://schemas.openxmlformats.org/officeDocument/2006/relationships" r:id="R1c8ca7a08af449c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5" hidden="0" customWidth="1"/>
    <x:col min="5" max="5" width="16" hidden="0" customWidth="1"/>
    <x:col min="6" max="6" width="16" hidden="0" customWidth="1"/>
    <x:col min="7" max="7" width="18" hidden="0" customWidth="1"/>
    <x:col min="8" max="8" width="24" hidden="0" customWidth="1"/>
    <x:col min="9" max="9" width="90" hidden="0" customWidth="1"/>
    <x:col min="10" max="10" width="65" hidden="0" customWidth="1"/>
    <x:col min="11" max="11" width="72" hidden="0" customWidth="1"/>
    <x:col min="12" max="12" width="65" hidden="0" customWidth="1"/>
    <x:col min="13" max="13" width="30" hidden="0" customWidth="1"/>
    <x:col min="14" max="14" width="25" hidden="0" customWidth="1"/>
  </x:cols>
  <x:sheetData>
    <x:row r="1" ht="42" customHeight="1">
      <x:c r="A1" s="13" t="str">
        <x:v>Study ID</x:v>
      </x:c>
      <x:c r="B1" s="13" t="str">
        <x:v>Report ID</x:v>
      </x:c>
      <x:c r="C1" s="13" t="str">
        <x:v>Item ID</x:v>
      </x:c>
      <x:c r="D1" s="13" t="str">
        <x:v>Original score</x:v>
      </x:c>
      <x:c r="E1" s="13" t="str">
        <x:v>Original maximum</x:v>
      </x:c>
      <x:c r="F1" s="13" t="str">
        <x:v>Reviewed score</x:v>
      </x:c>
      <x:c r="G1" s="13" t="str">
        <x:v>Reviewed maximum</x:v>
      </x:c>
      <x:c r="H1" s="13" t="str">
        <x:v>Status</x:v>
      </x:c>
      <x:c r="I1" s="13" t="str">
        <x:v>Rationale</x:v>
      </x:c>
      <x:c r="J1" s="13" t="str">
        <x:v>Source anchor</x:v>
      </x:c>
      <x:c r="K1" s="13" t="str">
        <x:v>Source URL</x:v>
      </x:c>
      <x:c r="L1" s="13" t="str">
        <x:v>Reviewer</x:v>
      </x:c>
      <x:c r="M1" s="13" t="str">
        <x:v>Checked UTC</x:v>
      </x:c>
      <x:c r="N1" s="13" t="str">
        <x:v>Independent human score</x:v>
      </x:c>
    </x:row>
    <x:row r="2" ht="90" customHeight="1">
      <x:c r="A2" s="10" t="str">
        <x:v>S015</x:v>
      </x:c>
      <x:c r="B2" s="10" t="str">
        <x:v>P015</x:v>
      </x:c>
      <x:c r="C2" s="10" t="str">
        <x:v>Q1</x:v>
      </x:c>
      <x:c r="D2" s="14" t="n">
        <x:v>2</x:v>
      </x:c>
      <x:c r="E2" s="14" t="n">
        <x:v>2</x:v>
      </x:c>
      <x:c r="F2" s="15" t="n">
        <x:v>2</x:v>
      </x:c>
      <x:c r="G2" s="15" t="n">
        <x:v>2</x:v>
      </x:c>
      <x:c r="H2" s="10" t="str">
        <x:v>Assessed</x:v>
      </x:c>
      <x:c r="I2" s="10" t="str">
        <x:v>Portable preemptive scheduling objective and GPU-serving case are explicit.</x:v>
      </x:c>
      <x:c r="J2" s="10" t="str">
        <x:v>PDF pp2-3; section1</x:v>
      </x:c>
      <x:c r="K2" s="10" t="str">
        <x:v>https://www.usenix.org/system/files/osdi25-shen-weihang.pdf</x:v>
      </x:c>
      <x:c r="L2" s="10" t="str">
        <x:v>AI assistant preparing Rameen assignment at Raazia request</x:v>
      </x:c>
      <x:c r="M2" s="10" t="d">
        <x:v>2026-10-22T08:47:26.581Z</x:v>
      </x:c>
      <x:c r="N2" s="16" t="str"/>
    </x:row>
    <x:row r="3" ht="90" customHeight="1">
      <x:c r="A3" s="10" t="str">
        <x:v>S015</x:v>
      </x:c>
      <x:c r="B3" s="10" t="str">
        <x:v>P015</x:v>
      </x:c>
      <x:c r="C3" s="10" t="str">
        <x:v>Q2</x:v>
      </x:c>
      <x:c r="D3" s="14" t="n">
        <x:v>2</x:v>
      </x:c>
      <x:c r="E3" s="14" t="n">
        <x:v>2</x:v>
      </x:c>
      <x:c r="F3" s="15" t="n">
        <x:v>2</x:v>
      </x:c>
      <x:c r="G3" s="15" t="n">
        <x:v>2</x:v>
      </x:c>
      <x:c r="H3" s="10" t="str">
        <x:v>Assessed</x:v>
      </x:c>
      <x:c r="I3" s="10" t="str">
        <x:v>XQueue, XShim and three preemption levels specify the mechanism.</x:v>
      </x:c>
      <x:c r="J3" s="10" t="str">
        <x:v>PDF pp4-10; sections3-6</x:v>
      </x:c>
      <x:c r="K3" s="10" t="str">
        <x:v>https://www.usenix.org/system/files/osdi25-shen-weihang.pdf</x:v>
      </x:c>
      <x:c r="L3" s="10" t="str">
        <x:v>AI assistant preparing Rameen assignment at Raazia request</x:v>
      </x:c>
      <x:c r="M3" s="10" t="d">
        <x:v>2026-10-22T08:47:26.581Z</x:v>
      </x:c>
      <x:c r="N3" s="16" t="str"/>
    </x:row>
    <x:row r="4" ht="90" customHeight="1">
      <x:c r="A4" s="10" t="str">
        <x:v>S015</x:v>
      </x:c>
      <x:c r="B4" s="10" t="str">
        <x:v>P015</x:v>
      </x:c>
      <x:c r="C4" s="10" t="str">
        <x:v>Q3</x:v>
      </x:c>
      <x:c r="D4" s="14" t="n">
        <x:v>1</x:v>
      </x:c>
      <x:c r="E4" s="14" t="n">
        <x:v>2</x:v>
      </x:c>
      <x:c r="F4" s="15" t="n">
        <x:v>1</x:v>
      </x:c>
      <x:c r="G4" s="15" t="n">
        <x:v>2</x:v>
      </x:c>
      <x:c r="H4" s="10" t="str">
        <x:v>Assessed</x:v>
      </x:c>
      <x:c r="I4" s="10" t="str">
        <x:v>Setup and policies are described; repeated-run uncertainty for Figure15 is not specified.</x:v>
      </x:c>
      <x:c r="J4" s="10" t="str">
        <x:v>PDF pp11-14; sections7-8</x:v>
      </x:c>
      <x:c r="K4" s="10" t="str">
        <x:v>https://www.usenix.org/system/files/osdi25-shen-weihang.pdf</x:v>
      </x:c>
      <x:c r="L4" s="10" t="str">
        <x:v>AI assistant preparing Rameen assignment at Raazia request</x:v>
      </x:c>
      <x:c r="M4" s="10" t="d">
        <x:v>2026-10-22T08:47:26.581Z</x:v>
      </x:c>
      <x:c r="N4" s="16" t="str"/>
    </x:row>
    <x:row r="5" ht="90" customHeight="1">
      <x:c r="A5" s="10" t="str">
        <x:v>S015</x:v>
      </x:c>
      <x:c r="B5" s="10" t="str">
        <x:v>P015</x:v>
      </x:c>
      <x:c r="C5" s="10" t="str">
        <x:v>Q4</x:v>
      </x:c>
      <x:c r="D5" s="14" t="n">
        <x:v>1</x:v>
      </x:c>
      <x:c r="E5" s="14" t="n">
        <x:v>2</x:v>
      </x:c>
      <x:c r="F5" s="15" t="n">
        <x:v>1</x:v>
      </x:c>
      <x:c r="G5" s="15" t="n">
        <x:v>2</x:v>
      </x:c>
      <x:c r="H5" s="10" t="str">
        <x:v>Assessed</x:v>
      </x:c>
      <x:c r="I5" s="10" t="str">
        <x:v>GV100, BERT-large and client rates are explicit; exact Triton/CUDA versions and batch sizes for case3 remain unresolved.</x:v>
      </x:c>
      <x:c r="J5" s="10" t="str">
        <x:v>PDF p14; section8 case3</x:v>
      </x:c>
      <x:c r="K5" s="10" t="str">
        <x:v>https://www.usenix.org/system/files/osdi25-shen-weihang.pdf</x:v>
      </x:c>
      <x:c r="L5" s="10" t="str">
        <x:v>AI assistant preparing Rameen assignment at Raazia request</x:v>
      </x:c>
      <x:c r="M5" s="10" t="d">
        <x:v>2026-10-22T08:47:26.581Z</x:v>
      </x:c>
      <x:c r="N5" s="16" t="str"/>
    </x:row>
    <x:row r="6" ht="90" customHeight="1">
      <x:c r="A6" s="10" t="str">
        <x:v>S015</x:v>
      </x:c>
      <x:c r="B6" s="10" t="str">
        <x:v>P015</x:v>
      </x:c>
      <x:c r="C6" s="10" t="str">
        <x:v>Q5</x:v>
      </x:c>
      <x:c r="D6" s="14" t="n">
        <x:v>2</x:v>
      </x:c>
      <x:c r="E6" s="14" t="n">
        <x:v>2</x:v>
      </x:c>
      <x:c r="F6" s="15" t="n">
        <x:v>2</x:v>
      </x:c>
      <x:c r="G6" s="15" t="n">
        <x:v>2</x:v>
      </x:c>
      <x:c r="H6" s="10" t="str">
        <x:v>Assessed</x:v>
      </x:c>
      <x:c r="I6" s="10" t="str">
        <x:v>Same-GPU standalone, native and priority Triton cases use the stated client conditions.</x:v>
      </x:c>
      <x:c r="J6" s="10" t="str">
        <x:v>PDF p14; Figure15a</x:v>
      </x:c>
      <x:c r="K6" s="10" t="str">
        <x:v>https://www.usenix.org/system/files/osdi25-shen-weihang.pdf</x:v>
      </x:c>
      <x:c r="L6" s="10" t="str">
        <x:v>AI assistant preparing Rameen assignment at Raazia request</x:v>
      </x:c>
      <x:c r="M6" s="10" t="d">
        <x:v>2026-10-22T08:47:26.581Z</x:v>
      </x:c>
      <x:c r="N6" s="16" t="str"/>
    </x:row>
    <x:row r="7" ht="90" customHeight="1">
      <x:c r="A7" s="10" t="str">
        <x:v>S015</x:v>
      </x:c>
      <x:c r="B7" s="10" t="str">
        <x:v>P015</x:v>
      </x:c>
      <x:c r="C7" s="10" t="str">
        <x:v>Q6</x:v>
      </x:c>
      <x:c r="D7" s="14" t="n">
        <x:v>2</x:v>
      </x:c>
      <x:c r="E7" s="14" t="n">
        <x:v>2</x:v>
      </x:c>
      <x:c r="F7" s="15" t="n">
        <x:v>2</x:v>
      </x:c>
      <x:c r="G7" s="15" t="n">
        <x:v>2</x:v>
      </x:c>
      <x:c r="H7" s="10" t="str">
        <x:v>Assessed</x:v>
      </x:c>
      <x:c r="I7" s="10" t="str">
        <x:v>Throughput in requests/s and normalized P99 comparisons are distinguished.</x:v>
      </x:c>
      <x:c r="J7" s="10" t="str">
        <x:v>PDF p14; Figure15</x:v>
      </x:c>
      <x:c r="K7" s="10" t="str">
        <x:v>https://www.usenix.org/system/files/osdi25-shen-weihang.pdf</x:v>
      </x:c>
      <x:c r="L7" s="10" t="str">
        <x:v>AI assistant preparing Rameen assignment at Raazia request</x:v>
      </x:c>
      <x:c r="M7" s="10" t="d">
        <x:v>2026-10-22T08:47:26.581Z</x:v>
      </x:c>
      <x:c r="N7" s="16" t="str"/>
    </x:row>
    <x:row r="8" ht="90" customHeight="1">
      <x:c r="A8" s="10" t="str">
        <x:v>S015</x:v>
      </x:c>
      <x:c r="B8" s="10" t="str">
        <x:v>P015</x:v>
      </x:c>
      <x:c r="C8" s="10" t="str">
        <x:v>Q7</x:v>
      </x:c>
      <x:c r="D8" s="14" t="n">
        <x:v>2</x:v>
      </x:c>
      <x:c r="E8" s="14" t="n">
        <x:v>2</x:v>
      </x:c>
      <x:c r="F8" s="15" t="n">
        <x:v>2</x:v>
      </x:c>
      <x:c r="G8" s="15" t="n">
        <x:v>2</x:v>
      </x:c>
      <x:c r="H8" s="10" t="str">
        <x:v>Assessed</x:v>
      </x:c>
      <x:c r="I8" s="10" t="str">
        <x:v>P99, latency CDF, high-priority 10 requests/s and continuous background load are explicit.</x:v>
      </x:c>
      <x:c r="J8" s="10" t="str">
        <x:v>PDF p14; section8 case3; Figure15a</x:v>
      </x:c>
      <x:c r="K8" s="10" t="str">
        <x:v>https://www.usenix.org/system/files/osdi25-shen-weihang.pdf</x:v>
      </x:c>
      <x:c r="L8" s="10" t="str">
        <x:v>AI assistant preparing Rameen assignment at Raazia request</x:v>
      </x:c>
      <x:c r="M8" s="10" t="d">
        <x:v>2026-10-22T08:47:26.581Z</x:v>
      </x:c>
      <x:c r="N8" s="16" t="str"/>
    </x:row>
    <x:row r="9" ht="90" customHeight="1">
      <x:c r="A9" s="10" t="str">
        <x:v>S015</x:v>
      </x:c>
      <x:c r="B9" s="10" t="str">
        <x:v>P015</x:v>
      </x:c>
      <x:c r="C9" s="10" t="str">
        <x:v>Q8</x:v>
      </x:c>
      <x:c r="D9" s="14" t="n">
        <x:v>2</x:v>
      </x:c>
      <x:c r="E9" s="14" t="n">
        <x:v>2</x:v>
      </x:c>
      <x:c r="F9" s="15" t="n">
        <x:v>2</x:v>
      </x:c>
      <x:c r="G9" s="15" t="n">
        <x:v>2</x:v>
      </x:c>
      <x:c r="H9" s="10" t="str">
        <x:v>Assessed</x:v>
      </x:c>
      <x:c r="I9" s="10" t="str">
        <x:v>Two BERT-large clients share one GV100 in the retained experiment.</x:v>
      </x:c>
      <x:c r="J9" s="10" t="str">
        <x:v>PDF p14; section8 case3</x:v>
      </x:c>
      <x:c r="K9" s="10" t="str">
        <x:v>https://www.usenix.org/system/files/osdi25-shen-weihang.pdf</x:v>
      </x:c>
      <x:c r="L9" s="10" t="str">
        <x:v>AI assistant preparing Rameen assignment at Raazia request</x:v>
      </x:c>
      <x:c r="M9" s="10" t="d">
        <x:v>2026-10-22T08:47:26.581Z</x:v>
      </x:c>
      <x:c r="N9" s="16" t="str"/>
    </x:row>
    <x:row r="10" ht="90" customHeight="1">
      <x:c r="A10" s="10" t="str">
        <x:v>S015</x:v>
      </x:c>
      <x:c r="B10" s="10" t="str">
        <x:v>P015</x:v>
      </x:c>
      <x:c r="C10" s="10" t="str">
        <x:v>Q9</x:v>
      </x:c>
      <x:c r="D10" s="14" t="str">
        <x:v>NA</x:v>
      </x:c>
      <x:c r="E10" s="14" t="n">
        <x:v>0</x:v>
      </x:c>
      <x:c r="F10" s="15" t="n">
        <x:v>2</x:v>
      </x:c>
      <x:c r="G10" s="15" t="n">
        <x:v>2</x:v>
      </x:c>
      <x:c r="H10" s="10" t="str">
        <x:v>Assessed</x:v>
      </x:c>
      <x:c r="I10" s="10" t="str">
        <x:v>Direct foreground performance-control evidence is delimited; malicious bypass is explicitly a limitation, not a security guarantee.</x:v>
      </x:c>
      <x:c r="J10" s="10" t="str">
        <x:v>PDF pp14-15; Figure15a; section9 Untrusted tenants</x:v>
      </x:c>
      <x:c r="K10" s="10" t="str">
        <x:v>https://www.usenix.org/system/files/osdi25-shen-weihang.pdf</x:v>
      </x:c>
      <x:c r="L10" s="10" t="str">
        <x:v>AI assistant preparing Rameen assignment at Raazia request</x:v>
      </x:c>
      <x:c r="M10" s="10" t="d">
        <x:v>2026-10-22T08:47:26.581Z</x:v>
      </x:c>
      <x:c r="N10" s="16" t="str"/>
    </x:row>
    <x:row r="11" ht="90" customHeight="1">
      <x:c r="A11" s="10" t="str">
        <x:v>S015</x:v>
      </x:c>
      <x:c r="B11" s="10" t="str">
        <x:v>P015</x:v>
      </x:c>
      <x:c r="C11" s="10" t="str">
        <x:v>Q10</x:v>
      </x:c>
      <x:c r="D11" s="14" t="n">
        <x:v>2</x:v>
      </x:c>
      <x:c r="E11" s="14" t="n">
        <x:v>2</x:v>
      </x:c>
      <x:c r="F11" s="15" t="n">
        <x:v>2</x:v>
      </x:c>
      <x:c r="G11" s="15" t="n">
        <x:v>2</x:v>
      </x:c>
      <x:c r="H11" s="10" t="str">
        <x:v>Assessed</x:v>
      </x:c>
      <x:c r="I11" s="10" t="str">
        <x:v>Artifact instructions, hardware-dependent preemption limits and sufficient-memory assumption are documented.</x:v>
      </x:c>
      <x:c r="J11" s="10" t="str">
        <x:v>PDF pp15,23; section9; Artifact Appendix</x:v>
      </x:c>
      <x:c r="K11" s="10" t="str">
        <x:v>https://www.usenix.org/system/files/osdi25-shen-weihang.pdf</x:v>
      </x:c>
      <x:c r="L11" s="10" t="str">
        <x:v>AI assistant preparing Rameen assignment at Raazia request</x:v>
      </x:c>
      <x:c r="M11" s="10" t="d">
        <x:v>2026-10-22T08:47:26.581Z</x:v>
      </x:c>
      <x:c r="N11" s="16" t="str"/>
    </x:row>
    <x:row r="12" ht="90" customHeight="1">
      <x:c r="A12" s="10" t="str">
        <x:v>S016</x:v>
      </x:c>
      <x:c r="B12" s="10" t="str">
        <x:v>P018</x:v>
      </x:c>
      <x:c r="C12" s="10" t="str">
        <x:v>Q1</x:v>
      </x:c>
      <x:c r="D12" s="14" t="n">
        <x:v>2</x:v>
      </x:c>
      <x:c r="E12" s="14" t="n">
        <x:v>2</x:v>
      </x:c>
      <x:c r="F12" s="15" t="n">
        <x:v>2</x:v>
      </x:c>
      <x:c r="G12" s="15" t="n">
        <x:v>2</x:v>
      </x:c>
      <x:c r="H12" s="10" t="str">
        <x:v>Assessed</x:v>
      </x:c>
      <x:c r="I12" s="10" t="str">
        <x:v>Performance fairness for heterogeneous inference models and goodput objectives are explicit.</x:v>
      </x:c>
      <x:c r="J12" s="10" t="str">
        <x:v>PDF pp1-2; sections1.1-1.4</x:v>
      </x:c>
      <x:c r="K12" s="10" t="str">
        <x:v>https://www.sciencedirect.com/science/article/pii/S0167739X23003187</x:v>
      </x:c>
      <x:c r="L12" s="10" t="str">
        <x:v>AI assistant preparing Rameen assignment at Raazia request</x:v>
      </x:c>
      <x:c r="M12" s="10" t="d">
        <x:v>2026-10-22T10:36:03.422Z</x:v>
      </x:c>
      <x:c r="N12" s="16" t="str"/>
    </x:row>
    <x:row r="13" ht="90" customHeight="1">
      <x:c r="A13" s="10" t="str">
        <x:v>S016</x:v>
      </x:c>
      <x:c r="B13" s="10" t="str">
        <x:v>P018</x:v>
      </x:c>
      <x:c r="C13" s="10" t="str">
        <x:v>Q2</x:v>
      </x:c>
      <x:c r="D13" s="14" t="n">
        <x:v>2</x:v>
      </x:c>
      <x:c r="E13" s="14" t="n">
        <x:v>2</x:v>
      </x:c>
      <x:c r="F13" s="15" t="n">
        <x:v>2</x:v>
      </x:c>
      <x:c r="G13" s="15" t="n">
        <x:v>2</x:v>
      </x:c>
      <x:c r="H13" s="10" t="str">
        <x:v>Assessed</x:v>
      </x:c>
      <x:c r="I13" s="10" t="str">
        <x:v>Online solo-run goodput estimator, model-state arrays, temporal scheduling and feedback controller are specified.</x:v>
      </x:c>
      <x:c r="J13" s="10" t="str">
        <x:v>PDF pp5-8; section4; Algorithms1-3</x:v>
      </x:c>
      <x:c r="K13" s="10" t="str">
        <x:v>https://www.sciencedirect.com/science/article/pii/S0167739X23003187</x:v>
      </x:c>
      <x:c r="L13" s="10" t="str">
        <x:v>AI assistant preparing Rameen assignment at Raazia request</x:v>
      </x:c>
      <x:c r="M13" s="10" t="d">
        <x:v>2026-10-22T10:36:03.422Z</x:v>
      </x:c>
      <x:c r="N13" s="16" t="str"/>
    </x:row>
    <x:row r="14" ht="90" customHeight="1">
      <x:c r="A14" s="10" t="str">
        <x:v>S016</x:v>
      </x:c>
      <x:c r="B14" s="10" t="str">
        <x:v>P018</x:v>
      </x:c>
      <x:c r="C14" s="10" t="str">
        <x:v>Q3</x:v>
      </x:c>
      <x:c r="D14" s="14" t="n">
        <x:v>1</x:v>
      </x:c>
      <x:c r="E14" s="14" t="n">
        <x:v>2</x:v>
      </x:c>
      <x:c r="F14" s="15" t="n">
        <x:v>1</x:v>
      </x:c>
      <x:c r="G14" s="15" t="n">
        <x:v>2</x:v>
      </x:c>
      <x:c r="H14" s="10" t="str">
        <x:v>Assessed</x:v>
      </x:c>
      <x:c r="I14" s="10" t="str">
        <x:v>Poisson load, sensitivity and trace duration are given; experiment repetitions and uncertainty remain unspecified.</x:v>
      </x:c>
      <x:c r="J14" s="10" t="str">
        <x:v>PDF pp8-9; sections5.1-5.4</x:v>
      </x:c>
      <x:c r="K14" s="10" t="str">
        <x:v>https://www.sciencedirect.com/science/article/pii/S0167739X23003187</x:v>
      </x:c>
      <x:c r="L14" s="10" t="str">
        <x:v>AI assistant preparing Rameen assignment at Raazia request</x:v>
      </x:c>
      <x:c r="M14" s="10" t="d">
        <x:v>2026-10-22T10:36:03.422Z</x:v>
      </x:c>
      <x:c r="N14" s="16" t="str"/>
    </x:row>
    <x:row r="15" ht="90" customHeight="1">
      <x:c r="A15" s="10" t="str">
        <x:v>S016</x:v>
      </x:c>
      <x:c r="B15" s="10" t="str">
        <x:v>P018</x:v>
      </x:c>
      <x:c r="C15" s="10" t="str">
        <x:v>Q4</x:v>
      </x:c>
      <x:c r="D15" s="14" t="n">
        <x:v>2</x:v>
      </x:c>
      <x:c r="E15" s="14" t="n">
        <x:v>2</x:v>
      </x:c>
      <x:c r="F15" s="15" t="n">
        <x:v>1</x:v>
      </x:c>
      <x:c r="G15" s="15" t="n">
        <x:v>2</x:v>
      </x:c>
      <x:c r="H15" s="10" t="str">
        <x:v>Assessed</x:v>
      </x:c>
      <x:c r="I15" s="10" t="str">
        <x:v>DellR740,V10032GB,models,load andSLO are supplied; precise CPU/OS/driver/CUDA/runtime versions remain unreported.</x:v>
      </x:c>
      <x:c r="J15" s="10" t="str">
        <x:v>PDF pp2,8-9; Table1; section5</x:v>
      </x:c>
      <x:c r="K15" s="10" t="str">
        <x:v>https://www.sciencedirect.com/science/article/pii/S0167739X23003187</x:v>
      </x:c>
      <x:c r="L15" s="10" t="str">
        <x:v>AI assistant preparing Rameen assignment at Raazia request</x:v>
      </x:c>
      <x:c r="M15" s="10" t="d">
        <x:v>2026-10-22T10:36:03.422Z</x:v>
      </x:c>
      <x:c r="N15" s="16" t="str"/>
    </x:row>
    <x:row r="16" ht="90" customHeight="1">
      <x:c r="A16" s="10" t="str">
        <x:v>S016</x:v>
      </x:c>
      <x:c r="B16" s="10" t="str">
        <x:v>P018</x:v>
      </x:c>
      <x:c r="C16" s="10" t="str">
        <x:v>Q5</x:v>
      </x:c>
      <x:c r="D16" s="14" t="n">
        <x:v>1</x:v>
      </x:c>
      <x:c r="E16" s="14" t="n">
        <x:v>2</x:v>
      </x:c>
      <x:c r="F16" s="15" t="n">
        <x:v>2</x:v>
      </x:c>
      <x:c r="G16" s="15" t="n">
        <x:v>2</x:v>
      </x:c>
      <x:c r="H16" s="10" t="str">
        <x:v>Assessed</x:v>
      </x:c>
      <x:c r="I16" s="10" t="str">
        <x:v>Clockwork,MPS+Clockwork and EDF conditions are explained; EDF intentionally lacks batching and is interpreted as a policy contrast.</x:v>
      </x:c>
      <x:c r="J16" s="10" t="str">
        <x:v>PDF p8; section5.1</x:v>
      </x:c>
      <x:c r="K16" s="10" t="str">
        <x:v>https://www.sciencedirect.com/science/article/pii/S0167739X23003187</x:v>
      </x:c>
      <x:c r="L16" s="10" t="str">
        <x:v>AI assistant preparing Rameen assignment at Raazia request</x:v>
      </x:c>
      <x:c r="M16" s="10" t="d">
        <x:v>2026-10-22T10:36:03.422Z</x:v>
      </x:c>
      <x:c r="N16" s="16" t="str"/>
    </x:row>
    <x:row r="17" ht="90" customHeight="1">
      <x:c r="A17" s="10" t="str">
        <x:v>S016</x:v>
      </x:c>
      <x:c r="B17" s="10" t="str">
        <x:v>P018</x:v>
      </x:c>
      <x:c r="C17" s="10" t="str">
        <x:v>Q6</x:v>
      </x:c>
      <x:c r="D17" s="14" t="n">
        <x:v>2</x:v>
      </x:c>
      <x:c r="E17" s="14" t="n">
        <x:v>2</x:v>
      </x:c>
      <x:c r="F17" s="15" t="n">
        <x:v>2</x:v>
      </x:c>
      <x:c r="G17" s="15" t="n">
        <x:v>2</x:v>
      </x:c>
      <x:c r="H17" s="10" t="str">
        <x:v>Assessed</x:v>
      </x:c>
      <x:c r="I17" s="10" t="str">
        <x:v>Goodput is successful requests per second withinSLO; unfairness is max/min solo-to-shared goodput slowdown.</x:v>
      </x:c>
      <x:c r="J17" s="10" t="str">
        <x:v>PDF pp2,8-9; Eq1-2; Table3</x:v>
      </x:c>
      <x:c r="K17" s="10" t="str">
        <x:v>https://www.sciencedirect.com/science/article/pii/S0167739X23003187</x:v>
      </x:c>
      <x:c r="L17" s="10" t="str">
        <x:v>AI assistant preparing Rameen assignment at Raazia request</x:v>
      </x:c>
      <x:c r="M17" s="10" t="d">
        <x:v>2026-10-22T10:36:03.422Z</x:v>
      </x:c>
      <x:c r="N17" s="16" t="str"/>
    </x:row>
    <x:row r="18" ht="90" customHeight="1">
      <x:c r="A18" s="10" t="str">
        <x:v>S016</x:v>
      </x:c>
      <x:c r="B18" s="10" t="str">
        <x:v>P018</x:v>
      </x:c>
      <x:c r="C18" s="10" t="str">
        <x:v>Q7</x:v>
      </x:c>
      <x:c r="D18" s="14" t="n">
        <x:v>1</x:v>
      </x:c>
      <x:c r="E18" s="14" t="n">
        <x:v>2</x:v>
      </x:c>
      <x:c r="F18" s="15" t="n">
        <x:v>2</x:v>
      </x:c>
      <x:c r="G18" s="15" t="n">
        <x:v>2</x:v>
      </x:c>
      <x:c r="H18" s="10" t="str">
        <x:v>Assessed</x:v>
      </x:c>
      <x:c r="I18" s="10" t="str">
        <x:v>SLO100ms,interval50ms,Poisson arrivals and saturation beyond1% deadline failures are specified; no numericalP99 latency is inferred.</x:v>
      </x:c>
      <x:c r="J18" s="10" t="str">
        <x:v>PDF p9; sections5.2-5.3</x:v>
      </x:c>
      <x:c r="K18" s="10" t="str">
        <x:v>https://www.sciencedirect.com/science/article/pii/S0167739X23003187</x:v>
      </x:c>
      <x:c r="L18" s="10" t="str">
        <x:v>AI assistant preparing Rameen assignment at Raazia request</x:v>
      </x:c>
      <x:c r="M18" s="10" t="d">
        <x:v>2026-10-22T10:36:03.422Z</x:v>
      </x:c>
      <x:c r="N18" s="16" t="str"/>
    </x:row>
    <x:row r="19" ht="90" customHeight="1">
      <x:c r="A19" s="10" t="str">
        <x:v>S016</x:v>
      </x:c>
      <x:c r="B19" s="10" t="str">
        <x:v>P018</x:v>
      </x:c>
      <x:c r="C19" s="10" t="str">
        <x:v>Q8</x:v>
      </x:c>
      <x:c r="D19" s="14" t="n">
        <x:v>2</x:v>
      </x:c>
      <x:c r="E19" s="14" t="n">
        <x:v>2</x:v>
      </x:c>
      <x:c r="F19" s="15" t="n">
        <x:v>2</x:v>
      </x:c>
      <x:c r="G19" s="15" t="n">
        <x:v>2</x:v>
      </x:c>
      <x:c r="H19" s="10" t="str">
        <x:v>Assessed</x:v>
      </x:c>
      <x:c r="I19" s="10" t="str">
        <x:v>Two- and three-model local co-running experiments are distinguishable from61-model,fourGPU trace replay.</x:v>
      </x:c>
      <x:c r="J19" s="10" t="str">
        <x:v>PDF p9; sections5.3-5.4</x:v>
      </x:c>
      <x:c r="K19" s="10" t="str">
        <x:v>https://www.sciencedirect.com/science/article/pii/S0167739X23003187</x:v>
      </x:c>
      <x:c r="L19" s="10" t="str">
        <x:v>AI assistant preparing Rameen assignment at Raazia request</x:v>
      </x:c>
      <x:c r="M19" s="10" t="d">
        <x:v>2026-10-22T10:36:03.422Z</x:v>
      </x:c>
      <x:c r="N19" s="16" t="str"/>
    </x:row>
    <x:row r="20" ht="90" customHeight="1">
      <x:c r="A20" s="10" t="str">
        <x:v>S016</x:v>
      </x:c>
      <x:c r="B20" s="10" t="str">
        <x:v>P018</x:v>
      </x:c>
      <x:c r="C20" s="10" t="str">
        <x:v>Q9</x:v>
      </x:c>
      <x:c r="D20" s="14" t="n">
        <x:v>1</x:v>
      </x:c>
      <x:c r="E20" s="14" t="n">
        <x:v>2</x:v>
      </x:c>
      <x:c r="F20" s="15" t="n">
        <x:v>2</x:v>
      </x:c>
      <x:c r="G20" s="15" t="n">
        <x:v>2</x:v>
      </x:c>
      <x:c r="H20" s="10" t="str">
        <x:v>Assessed</x:v>
      </x:c>
      <x:c r="I20" s="10" t="str">
        <x:v>Performance-isolation boundary is explicitly defined by unequal goodput slowdown and directly tested; no memory/security/fault guarantee is claimed.</x:v>
      </x:c>
      <x:c r="J20" s="10" t="str">
        <x:v>PDF p2; Eq1-2; PDF p9; Table3</x:v>
      </x:c>
      <x:c r="K20" s="10" t="str">
        <x:v>https://www.sciencedirect.com/science/article/pii/S0167739X23003187</x:v>
      </x:c>
      <x:c r="L20" s="10" t="str">
        <x:v>AI assistant preparing Rameen assignment at Raazia request</x:v>
      </x:c>
      <x:c r="M20" s="10" t="d">
        <x:v>2026-10-22T10:36:03.422Z</x:v>
      </x:c>
      <x:c r="N20" s="16" t="str"/>
    </x:row>
    <x:row r="21" ht="90" customHeight="1">
      <x:c r="A21" s="10" t="str">
        <x:v>S016</x:v>
      </x:c>
      <x:c r="B21" s="10" t="str">
        <x:v>P018</x:v>
      </x:c>
      <x:c r="C21" s="10" t="str">
        <x:v>Q10</x:v>
      </x:c>
      <x:c r="D21" s="14" t="n">
        <x:v>1</x:v>
      </x:c>
      <x:c r="E21" s="14" t="n">
        <x:v>2</x:v>
      </x:c>
      <x:c r="F21" s="15" t="n">
        <x:v>1</x:v>
      </x:c>
      <x:c r="G21" s="15" t="n">
        <x:v>2</x:v>
      </x:c>
      <x:c r="H21" s="10" t="str">
        <x:v>Assessed</x:v>
      </x:c>
      <x:c r="I21" s="10" t="str">
        <x:v>Algorithms and memory-management reliance onClockwork are explicit; versioned reproduction setup/artifact detail remains incomplete.</x:v>
      </x:c>
      <x:c r="J21" s="10" t="str">
        <x:v>PDF pp5-8,10; section7</x:v>
      </x:c>
      <x:c r="K21" s="10" t="str">
        <x:v>https://www.sciencedirect.com/science/article/pii/S0167739X23003187</x:v>
      </x:c>
      <x:c r="L21" s="10" t="str">
        <x:v>AI assistant preparing Rameen assignment at Raazia request</x:v>
      </x:c>
      <x:c r="M21" s="10" t="d">
        <x:v>2026-10-22T10:36:03.422Z</x:v>
      </x:c>
      <x:c r="N21" s="16" t="str"/>
    </x:row>
    <x:row r="22" ht="90" customHeight="1">
      <x:c r="A22" s="10" t="str">
        <x:v>S017</x:v>
      </x:c>
      <x:c r="B22" s="10" t="str">
        <x:v>P019</x:v>
      </x:c>
      <x:c r="C22" s="10" t="str">
        <x:v>Q1</x:v>
      </x:c>
      <x:c r="D22" s="14" t="n">
        <x:v>2</x:v>
      </x:c>
      <x:c r="E22" s="14" t="n">
        <x:v>2</x:v>
      </x:c>
      <x:c r="F22" s="15" t="n">
        <x:v>2</x:v>
      </x:c>
      <x:c r="G22" s="15" t="n">
        <x:v>2</x:v>
      </x:c>
      <x:c r="H22" s="10" t="str">
        <x:v>Assessed</x:v>
      </x:c>
      <x:c r="I22" s="10" t="str">
        <x:v>Objective is QoS-preserving inference/training co-location.</x:v>
      </x:c>
      <x:c r="J22" s="10" t="str">
        <x:v>PDF pp1-2; section1</x:v>
      </x:c>
      <x:c r="K22" s="10" t="str">
        <x:v>https://doi.org/10.1007/s42514-023-00154-y</x:v>
      </x:c>
      <x:c r="L22" s="10" t="str">
        <x:v>AI assistant preparing Rameen assignment at Raazia request</x:v>
      </x:c>
      <x:c r="M22" s="10" t="d">
        <x:v>2026-10-22T09:45:36.755Z</x:v>
      </x:c>
      <x:c r="N22" s="16" t="str"/>
    </x:row>
    <x:row r="23" ht="90" customHeight="1">
      <x:c r="A23" s="10" t="str">
        <x:v>S017</x:v>
      </x:c>
      <x:c r="B23" s="10" t="str">
        <x:v>P019</x:v>
      </x:c>
      <x:c r="C23" s="10" t="str">
        <x:v>Q2</x:v>
      </x:c>
      <x:c r="D23" s="14" t="n">
        <x:v>2</x:v>
      </x:c>
      <x:c r="E23" s="14" t="n">
        <x:v>2</x:v>
      </x:c>
      <x:c r="F23" s="15" t="n">
        <x:v>2</x:v>
      </x:c>
      <x:c r="G23" s="15" t="n">
        <x:v>2</x:v>
      </x:c>
      <x:c r="H23" s="10" t="str">
        <x:v>Assessed</x:v>
      </x:c>
      <x:c r="I23" s="10" t="str">
        <x:v>NVML monitoring, CUDA API interception, predictor and adjustment are specified.</x:v>
      </x:c>
      <x:c r="J23" s="10" t="str">
        <x:v>PDF pp6-11; sections4.1-4.3</x:v>
      </x:c>
      <x:c r="K23" s="10" t="str">
        <x:v>https://doi.org/10.1007/s42514-023-00154-y</x:v>
      </x:c>
      <x:c r="L23" s="10" t="str">
        <x:v>AI assistant preparing Rameen assignment at Raazia request</x:v>
      </x:c>
      <x:c r="M23" s="10" t="d">
        <x:v>2026-10-22T09:45:36.755Z</x:v>
      </x:c>
      <x:c r="N23" s="16" t="str"/>
    </x:row>
    <x:row r="24" ht="90" customHeight="1">
      <x:c r="A24" s="10" t="str">
        <x:v>S017</x:v>
      </x:c>
      <x:c r="B24" s="10" t="str">
        <x:v>P019</x:v>
      </x:c>
      <x:c r="C24" s="10" t="str">
        <x:v>Q3</x:v>
      </x:c>
      <x:c r="D24" s="14" t="n">
        <x:v>1</x:v>
      </x:c>
      <x:c r="E24" s="14" t="n">
        <x:v>2</x:v>
      </x:c>
      <x:c r="F24" s="15" t="n">
        <x:v>1</x:v>
      </x:c>
      <x:c r="G24" s="15" t="n">
        <x:v>2</x:v>
      </x:c>
      <x:c r="H24" s="10" t="str">
        <x:v>Assessed</x:v>
      </x:c>
      <x:c r="I24" s="10" t="str">
        <x:v>Model pairs and measurements are described; repetitions and uncertainty remain unspecified.</x:v>
      </x:c>
      <x:c r="J24" s="10" t="str">
        <x:v>PDF pp11-16; section5</x:v>
      </x:c>
      <x:c r="K24" s="10" t="str">
        <x:v>https://doi.org/10.1007/s42514-023-00154-y</x:v>
      </x:c>
      <x:c r="L24" s="10" t="str">
        <x:v>AI assistant preparing Rameen assignment at Raazia request</x:v>
      </x:c>
      <x:c r="M24" s="10" t="d">
        <x:v>2026-10-22T09:45:36.755Z</x:v>
      </x:c>
      <x:c r="N24" s="16" t="str"/>
    </x:row>
    <x:row r="25" ht="90" customHeight="1">
      <x:c r="A25" s="10" t="str">
        <x:v>S017</x:v>
      </x:c>
      <x:c r="B25" s="10" t="str">
        <x:v>P019</x:v>
      </x:c>
      <x:c r="C25" s="10" t="str">
        <x:v>Q4</x:v>
      </x:c>
      <x:c r="D25" s="14" t="n">
        <x:v>2</x:v>
      </x:c>
      <x:c r="E25" s="14" t="n">
        <x:v>2</x:v>
      </x:c>
      <x:c r="F25" s="15" t="n">
        <x:v>2</x:v>
      </x:c>
      <x:c r="G25" s="15" t="n">
        <x:v>2</x:v>
      </x:c>
      <x:c r="H25" s="10" t="str">
        <x:v>Assessed</x:v>
      </x:c>
      <x:c r="I25" s="10" t="str">
        <x:v>V100, host, CentOS, CUDA and cuDNN plus five inference and six training models are given.</x:v>
      </x:c>
      <x:c r="J25" s="10" t="str">
        <x:v>PDF pp4,11; Tables1-3</x:v>
      </x:c>
      <x:c r="K25" s="10" t="str">
        <x:v>https://doi.org/10.1007/s42514-023-00154-y</x:v>
      </x:c>
      <x:c r="L25" s="10" t="str">
        <x:v>AI assistant preparing Rameen assignment at Raazia request</x:v>
      </x:c>
      <x:c r="M25" s="10" t="d">
        <x:v>2026-10-22T09:45:36.755Z</x:v>
      </x:c>
      <x:c r="N25" s="16" t="str"/>
    </x:row>
    <x:row r="26" ht="90" customHeight="1">
      <x:c r="A26" s="10" t="str">
        <x:v>S017</x:v>
      </x:c>
      <x:c r="B26" s="10" t="str">
        <x:v>P019</x:v>
      </x:c>
      <x:c r="C26" s="10" t="str">
        <x:v>Q5</x:v>
      </x:c>
      <x:c r="D26" s="14" t="n">
        <x:v>1</x:v>
      </x:c>
      <x:c r="E26" s="14" t="n">
        <x:v>2</x:v>
      </x:c>
      <x:c r="F26" s="15" t="n">
        <x:v>1</x:v>
      </x:c>
      <x:c r="G26" s="15" t="n">
        <x:v>2</x:v>
      </x:c>
      <x:c r="H26" s="10" t="str">
        <x:v>Assessed</x:v>
      </x:c>
      <x:c r="I26" s="10" t="str">
        <x:v>MPS/k8s comparators and workload pairs are relevant; exact MPS allocation quotas remain unresolved.</x:v>
      </x:c>
      <x:c r="J26" s="10" t="str">
        <x:v>PDF pp11-12; section5.2; Figures14-17</x:v>
      </x:c>
      <x:c r="K26" s="10" t="str">
        <x:v>https://doi.org/10.1007/s42514-023-00154-y</x:v>
      </x:c>
      <x:c r="L26" s="10" t="str">
        <x:v>AI assistant preparing Rameen assignment at Raazia request</x:v>
      </x:c>
      <x:c r="M26" s="10" t="d">
        <x:v>2026-10-22T09:45:36.755Z</x:v>
      </x:c>
      <x:c r="N26" s="16" t="str"/>
    </x:row>
    <x:row r="27" ht="90" customHeight="1">
      <x:c r="A27" s="10" t="str">
        <x:v>S017</x:v>
      </x:c>
      <x:c r="B27" s="10" t="str">
        <x:v>P019</x:v>
      </x:c>
      <x:c r="C27" s="10" t="str">
        <x:v>Q6</x:v>
      </x:c>
      <x:c r="D27" s="14" t="n">
        <x:v>2</x:v>
      </x:c>
      <x:c r="E27" s="14" t="n">
        <x:v>2</x:v>
      </x:c>
      <x:c r="F27" s="15" t="n">
        <x:v>2</x:v>
      </x:c>
      <x:c r="G27" s="15" t="n">
        <x:v>2</x:v>
      </x:c>
      <x:c r="H27" s="10" t="str">
        <x:v>Assessed</x:v>
      </x:c>
      <x:c r="I27" s="10" t="str">
        <x:v>QPS, query yield and goodput are distinguished with explicit definitions.</x:v>
      </x:c>
      <x:c r="J27" s="10" t="str">
        <x:v>PDF pp12-14; sections5.2-5.3; equations2-3</x:v>
      </x:c>
      <x:c r="K27" s="10" t="str">
        <x:v>https://doi.org/10.1007/s42514-023-00154-y</x:v>
      </x:c>
      <x:c r="L27" s="10" t="str">
        <x:v>AI assistant preparing Rameen assignment at Raazia request</x:v>
      </x:c>
      <x:c r="M27" s="10" t="d">
        <x:v>2026-10-22T09:45:36.755Z</x:v>
      </x:c>
      <x:c r="N27" s="16" t="str"/>
    </x:row>
    <x:row r="28" ht="90" customHeight="1">
      <x:c r="A28" s="10" t="str">
        <x:v>S017</x:v>
      </x:c>
      <x:c r="B28" s="10" t="str">
        <x:v>P019</x:v>
      </x:c>
      <x:c r="C28" s="10" t="str">
        <x:v>Q7</x:v>
      </x:c>
      <x:c r="D28" s="14" t="n">
        <x:v>2</x:v>
      </x:c>
      <x:c r="E28" s="14" t="n">
        <x:v>2</x:v>
      </x:c>
      <x:c r="F28" s="15" t="n">
        <x:v>2</x:v>
      </x:c>
      <x:c r="G28" s="15" t="n">
        <x:v>2</x:v>
      </x:c>
      <x:c r="H28" s="10" t="str">
        <x:v>Assessed</x:v>
      </x:c>
      <x:c r="I28" s="10" t="str">
        <x:v>Single-stream query size1, P99 and twice-solo QoS target are explicit.</x:v>
      </x:c>
      <x:c r="J28" s="10" t="str">
        <x:v>PDF pp4,11-12; sections3.4,5.1-5.2</x:v>
      </x:c>
      <x:c r="K28" s="10" t="str">
        <x:v>https://doi.org/10.1007/s42514-023-00154-y</x:v>
      </x:c>
      <x:c r="L28" s="10" t="str">
        <x:v>AI assistant preparing Rameen assignment at Raazia request</x:v>
      </x:c>
      <x:c r="M28" s="10" t="d">
        <x:v>2026-10-22T09:45:36.755Z</x:v>
      </x:c>
      <x:c r="N28" s="16" t="str"/>
    </x:row>
    <x:row r="29" ht="90" customHeight="1">
      <x:c r="A29" s="10" t="str">
        <x:v>S017</x:v>
      </x:c>
      <x:c r="B29" s="10" t="str">
        <x:v>P019</x:v>
      </x:c>
      <x:c r="C29" s="10" t="str">
        <x:v>Q8</x:v>
      </x:c>
      <x:c r="D29" s="14" t="n">
        <x:v>2</x:v>
      </x:c>
      <x:c r="E29" s="14" t="n">
        <x:v>2</x:v>
      </x:c>
      <x:c r="F29" s="15" t="n">
        <x:v>2</x:v>
      </x:c>
      <x:c r="G29" s="15" t="n">
        <x:v>2</x:v>
      </x:c>
      <x:c r="H29" s="10" t="str">
        <x:v>Assessed</x:v>
      </x:c>
      <x:c r="I29" s="10" t="str">
        <x:v>Thirty inference/training pairs and adjustment ablation directly test interference.</x:v>
      </x:c>
      <x:c r="J29" s="10" t="str">
        <x:v>PDF pp11-16; Figures14-21</x:v>
      </x:c>
      <x:c r="K29" s="10" t="str">
        <x:v>https://doi.org/10.1007/s42514-023-00154-y</x:v>
      </x:c>
      <x:c r="L29" s="10" t="str">
        <x:v>AI assistant preparing Rameen assignment at Raazia request</x:v>
      </x:c>
      <x:c r="M29" s="10" t="d">
        <x:v>2026-10-22T09:45:36.755Z</x:v>
      </x:c>
      <x:c r="N29" s="16" t="str"/>
    </x:row>
    <x:row r="30" ht="90" customHeight="1">
      <x:c r="A30" s="10" t="str">
        <x:v>S017</x:v>
      </x:c>
      <x:c r="B30" s="10" t="str">
        <x:v>P019</x:v>
      </x:c>
      <x:c r="C30" s="10" t="str">
        <x:v>Q9</x:v>
      </x:c>
      <x:c r="D30" s="14" t="n">
        <x:v>1</x:v>
      </x:c>
      <x:c r="E30" s="14" t="n">
        <x:v>2</x:v>
      </x:c>
      <x:c r="F30" s="15" t="n">
        <x:v>1</x:v>
      </x:c>
      <x:c r="G30" s="15" t="n">
        <x:v>2</x:v>
      </x:c>
      <x:c r="H30" s="10" t="str">
        <x:v>Assessed</x:v>
      </x:c>
      <x:c r="I30" s="10" t="str">
        <x:v>Performance restriction is tested, but stronger cross-context/error claims lack a direct fault/security experiment.</x:v>
      </x:c>
      <x:c r="J30" s="10" t="str">
        <x:v>PDF pp2-3,10-11,15-16; sections4.3,5.4</x:v>
      </x:c>
      <x:c r="K30" s="10" t="str">
        <x:v>https://doi.org/10.1007/s42514-023-00154-y</x:v>
      </x:c>
      <x:c r="L30" s="10" t="str">
        <x:v>AI assistant preparing Rameen assignment at Raazia request</x:v>
      </x:c>
      <x:c r="M30" s="10" t="d">
        <x:v>2026-10-22T09:45:36.755Z</x:v>
      </x:c>
      <x:c r="N30" s="16" t="str"/>
    </x:row>
    <x:row r="31" ht="90" customHeight="1">
      <x:c r="A31" s="10" t="str">
        <x:v>S017</x:v>
      </x:c>
      <x:c r="B31" s="10" t="str">
        <x:v>P019</x:v>
      </x:c>
      <x:c r="C31" s="10" t="str">
        <x:v>Q10</x:v>
      </x:c>
      <x:c r="D31" s="14" t="n">
        <x:v>1</x:v>
      </x:c>
      <x:c r="E31" s="14" t="n">
        <x:v>2</x:v>
      </x:c>
      <x:c r="F31" s="15" t="n">
        <x:v>1</x:v>
      </x:c>
      <x:c r="G31" s="15" t="n">
        <x:v>2</x:v>
      </x:c>
      <x:c r="H31" s="10" t="str">
        <x:v>Assessed</x:v>
      </x:c>
      <x:c r="I31" s="10" t="str">
        <x:v>Prediction/limiter overhead and limitations are discussed; data are on request and artifact/software details remain incomplete.</x:v>
      </x:c>
      <x:c r="J31" s="10" t="str">
        <x:v>PDF pp15-16; sections5.5-5.6; data availability</x:v>
      </x:c>
      <x:c r="K31" s="10" t="str">
        <x:v>https://doi.org/10.1007/s42514-023-00154-y</x:v>
      </x:c>
      <x:c r="L31" s="10" t="str">
        <x:v>AI assistant preparing Rameen assignment at Raazia request</x:v>
      </x:c>
      <x:c r="M31" s="10" t="d">
        <x:v>2026-10-22T09:45:36.755Z</x:v>
      </x:c>
      <x:c r="N31" s="16" t="str"/>
    </x:row>
    <x:row r="32" ht="90" customHeight="1">
      <x:c r="A32" s="10" t="str">
        <x:v>S018</x:v>
      </x:c>
      <x:c r="B32" s="10" t="str">
        <x:v>P020</x:v>
      </x:c>
      <x:c r="C32" s="10" t="str">
        <x:v>Q1</x:v>
      </x:c>
      <x:c r="D32" s="14" t="n">
        <x:v>2</x:v>
      </x:c>
      <x:c r="E32" s="14" t="n">
        <x:v>2</x:v>
      </x:c>
      <x:c r="F32" s="15" t="n">
        <x:v>2</x:v>
      </x:c>
      <x:c r="G32" s="15" t="n">
        <x:v>2</x:v>
      </x:c>
      <x:c r="H32" s="10" t="str">
        <x:v>Assessed</x:v>
      </x:c>
      <x:c r="I32" s="10" t="str">
        <x:v>Fragmentation, placement and dynamic partitioning objective is explicit.</x:v>
      </x:c>
      <x:c r="J32" s="10" t="str">
        <x:v>PDF pp1-2; section1</x:v>
      </x:c>
      <x:c r="K32" s="10" t="str">
        <x:v>https://doi.org/10.1007/s10586-025-05284-2</x:v>
      </x:c>
      <x:c r="L32" s="10" t="str">
        <x:v>AI assistant preparing Rameen assignment at Raazia request</x:v>
      </x:c>
      <x:c r="M32" s="10" t="d">
        <x:v>2026-10-22T09:45:36.755Z</x:v>
      </x:c>
      <x:c r="N32" s="16" t="str"/>
    </x:row>
    <x:row r="33" ht="90" customHeight="1">
      <x:c r="A33" s="10" t="str">
        <x:v>S018</x:v>
      </x:c>
      <x:c r="B33" s="10" t="str">
        <x:v>P020</x:v>
      </x:c>
      <x:c r="C33" s="10" t="str">
        <x:v>Q2</x:v>
      </x:c>
      <x:c r="D33" s="14" t="n">
        <x:v>2</x:v>
      </x:c>
      <x:c r="E33" s="14" t="n">
        <x:v>2</x:v>
      </x:c>
      <x:c r="F33" s="15" t="n">
        <x:v>2</x:v>
      </x:c>
      <x:c r="G33" s="15" t="n">
        <x:v>2</x:v>
      </x:c>
      <x:c r="H33" s="10" t="str">
        <x:v>Assessed</x:v>
      </x:c>
      <x:c r="I33" s="10" t="str">
        <x:v>Partition prediction, BnB scheduling, constraints and reconfiguration-cost model are described.</x:v>
      </x:c>
      <x:c r="J33" s="10" t="str">
        <x:v>PDF pp5-11; section3; Algorithms1-3</x:v>
      </x:c>
      <x:c r="K33" s="10" t="str">
        <x:v>https://doi.org/10.1007/s10586-025-05284-2</x:v>
      </x:c>
      <x:c r="L33" s="10" t="str">
        <x:v>AI assistant preparing Rameen assignment at Raazia request</x:v>
      </x:c>
      <x:c r="M33" s="10" t="d">
        <x:v>2026-10-22T09:45:36.755Z</x:v>
      </x:c>
      <x:c r="N33" s="16" t="str"/>
    </x:row>
    <x:row r="34" ht="90" customHeight="1">
      <x:c r="A34" s="10" t="str">
        <x:v>S018</x:v>
      </x:c>
      <x:c r="B34" s="10" t="str">
        <x:v>P020</x:v>
      </x:c>
      <x:c r="C34" s="10" t="str">
        <x:v>Q3</x:v>
      </x:c>
      <x:c r="D34" s="14" t="n">
        <x:v>1</x:v>
      </x:c>
      <x:c r="E34" s="14" t="n">
        <x:v>2</x:v>
      </x:c>
      <x:c r="F34" s="15" t="n">
        <x:v>1</x:v>
      </x:c>
      <x:c r="G34" s="15" t="n">
        <x:v>2</x:v>
      </x:c>
      <x:c r="H34" s="10" t="str">
        <x:v>Assessed</x:v>
      </x:c>
      <x:c r="I34" s="10" t="str">
        <x:v>Workload counts, comparators and metrics are given; repeated-run uncertainty is not established.</x:v>
      </x:c>
      <x:c r="J34" s="10" t="str">
        <x:v>PDF pp11-16; section4</x:v>
      </x:c>
      <x:c r="K34" s="10" t="str">
        <x:v>https://doi.org/10.1007/s10586-025-05284-2</x:v>
      </x:c>
      <x:c r="L34" s="10" t="str">
        <x:v>AI assistant preparing Rameen assignment at Raazia request</x:v>
      </x:c>
      <x:c r="M34" s="10" t="d">
        <x:v>2026-10-22T09:45:36.755Z</x:v>
      </x:c>
      <x:c r="N34" s="16" t="str"/>
    </x:row>
    <x:row r="35" ht="90" customHeight="1">
      <x:c r="A35" s="10" t="str">
        <x:v>S018</x:v>
      </x:c>
      <x:c r="B35" s="10" t="str">
        <x:v>P020</x:v>
      </x:c>
      <x:c r="C35" s="10" t="str">
        <x:v>Q4</x:v>
      </x:c>
      <x:c r="D35" s="14" t="n">
        <x:v>2</x:v>
      </x:c>
      <x:c r="E35" s="14" t="n">
        <x:v>2</x:v>
      </x:c>
      <x:c r="F35" s="15" t="n">
        <x:v>2</x:v>
      </x:c>
      <x:c r="G35" s="15" t="n">
        <x:v>2</x:v>
      </x:c>
      <x:c r="H35" s="10" t="str">
        <x:v>Assessed</x:v>
      </x:c>
      <x:c r="I35" s="10" t="str">
        <x:v>A30 system, driver, CUDA, DCGM, model variants and batch sizes are specified.</x:v>
      </x:c>
      <x:c r="J35" s="10" t="str">
        <x:v>PDF pp11-13; Table2</x:v>
      </x:c>
      <x:c r="K35" s="10" t="str">
        <x:v>https://doi.org/10.1007/s10586-025-05284-2</x:v>
      </x:c>
      <x:c r="L35" s="10" t="str">
        <x:v>AI assistant preparing Rameen assignment at Raazia request</x:v>
      </x:c>
      <x:c r="M35" s="10" t="d">
        <x:v>2026-10-22T09:45:36.755Z</x:v>
      </x:c>
      <x:c r="N35" s="16" t="str"/>
    </x:row>
    <x:row r="36" ht="90" customHeight="1">
      <x:c r="A36" s="10" t="str">
        <x:v>S018</x:v>
      </x:c>
      <x:c r="B36" s="10" t="str">
        <x:v>P020</x:v>
      </x:c>
      <x:c r="C36" s="10" t="str">
        <x:v>Q5</x:v>
      </x:c>
      <x:c r="D36" s="14" t="n">
        <x:v>1</x:v>
      </x:c>
      <x:c r="E36" s="14" t="n">
        <x:v>2</x:v>
      </x:c>
      <x:c r="F36" s="15" t="n">
        <x:v>1</x:v>
      </x:c>
      <x:c r="G36" s="15" t="n">
        <x:v>2</x:v>
      </x:c>
      <x:c r="H36" s="10" t="str">
        <x:v>Assessed</x:v>
      </x:c>
      <x:c r="I36" s="10" t="str">
        <x:v>MISO is adapted and ORACLE has prior knowledge; comparisons require those qualifications.</x:v>
      </x:c>
      <x:c r="J36" s="10" t="str">
        <x:v>PDF p11; section4</x:v>
      </x:c>
      <x:c r="K36" s="10" t="str">
        <x:v>https://doi.org/10.1007/s10586-025-05284-2</x:v>
      </x:c>
      <x:c r="L36" s="10" t="str">
        <x:v>AI assistant preparing Rameen assignment at Raazia request</x:v>
      </x:c>
      <x:c r="M36" s="10" t="d">
        <x:v>2026-10-22T09:45:36.755Z</x:v>
      </x:c>
      <x:c r="N36" s="16" t="str"/>
    </x:row>
    <x:row r="37" ht="90" customHeight="1">
      <x:c r="A37" s="10" t="str">
        <x:v>S018</x:v>
      </x:c>
      <x:c r="B37" s="10" t="str">
        <x:v>P020</x:v>
      </x:c>
      <x:c r="C37" s="10" t="str">
        <x:v>Q6</x:v>
      </x:c>
      <x:c r="D37" s="14" t="n">
        <x:v>2</x:v>
      </x:c>
      <x:c r="E37" s="14" t="n">
        <x:v>2</x:v>
      </x:c>
      <x:c r="F37" s="15" t="n">
        <x:v>2</x:v>
      </x:c>
      <x:c r="G37" s="15" t="n">
        <x:v>2</x:v>
      </x:c>
      <x:c r="H37" s="10" t="str">
        <x:v>Assessed</x:v>
      </x:c>
      <x:c r="I37" s="10" t="str">
        <x:v>STP is a normalized weighted partition-throughput sum; makespan and JCT are separate.</x:v>
      </x:c>
      <x:c r="J37" s="10" t="str">
        <x:v>PDF p11; section4</x:v>
      </x:c>
      <x:c r="K37" s="10" t="str">
        <x:v>https://doi.org/10.1007/s10586-025-05284-2</x:v>
      </x:c>
      <x:c r="L37" s="10" t="str">
        <x:v>AI assistant preparing Rameen assignment at Raazia request</x:v>
      </x:c>
      <x:c r="M37" s="10" t="d">
        <x:v>2026-10-22T09:45:36.755Z</x:v>
      </x:c>
      <x:c r="N37" s="16" t="str"/>
    </x:row>
    <x:row r="38" ht="90" customHeight="1">
      <x:c r="A38" s="10" t="str">
        <x:v>S018</x:v>
      </x:c>
      <x:c r="B38" s="10" t="str">
        <x:v>P020</x:v>
      </x:c>
      <x:c r="C38" s="10" t="str">
        <x:v>Q7</x:v>
      </x:c>
      <x:c r="D38" s="14" t="n">
        <x:v>1</x:v>
      </x:c>
      <x:c r="E38" s="14" t="n">
        <x:v>2</x:v>
      </x:c>
      <x:c r="F38" s="15" t="n">
        <x:v>1</x:v>
      </x:c>
      <x:c r="G38" s="15" t="n">
        <x:v>2</x:v>
      </x:c>
      <x:c r="H38" s="10" t="str">
        <x:v>Assessed</x:v>
      </x:c>
      <x:c r="I38" s="10" t="str">
        <x:v>Job completion, deadlines and queues are described; online request-tail measurements are not supplied.</x:v>
      </x:c>
      <x:c r="J38" s="10" t="str">
        <x:v>PDF pp11-14; sections4.1-4.3</x:v>
      </x:c>
      <x:c r="K38" s="10" t="str">
        <x:v>https://doi.org/10.1007/s10586-025-05284-2</x:v>
      </x:c>
      <x:c r="L38" s="10" t="str">
        <x:v>AI assistant preparing Rameen assignment at Raazia request</x:v>
      </x:c>
      <x:c r="M38" s="10" t="d">
        <x:v>2026-10-22T09:45:36.755Z</x:v>
      </x:c>
      <x:c r="N38" s="16" t="str"/>
    </x:row>
    <x:row r="39" ht="90" customHeight="1">
      <x:c r="A39" s="10" t="str">
        <x:v>S018</x:v>
      </x:c>
      <x:c r="B39" s="10" t="str">
        <x:v>P020</x:v>
      </x:c>
      <x:c r="C39" s="10" t="str">
        <x:v>Q8</x:v>
      </x:c>
      <x:c r="D39" s="14" t="n">
        <x:v>2</x:v>
      </x:c>
      <x:c r="E39" s="14" t="n">
        <x:v>2</x:v>
      </x:c>
      <x:c r="F39" s="15" t="n">
        <x:v>2</x:v>
      </x:c>
      <x:c r="G39" s="15" t="n">
        <x:v>2</x:v>
      </x:c>
      <x:c r="H39" s="10" t="str">
        <x:v>Assessed</x:v>
      </x:c>
      <x:c r="I39" s="10" t="str">
        <x:v>Single-A30 job/batch concurrency tests are distinguishable from the large-cluster simulation.</x:v>
      </x:c>
      <x:c r="J39" s="10" t="str">
        <x:v>PDF pp13-16; sections4.2,4.3.1; Figures11-13</x:v>
      </x:c>
      <x:c r="K39" s="10" t="str">
        <x:v>https://doi.org/10.1007/s10586-025-05284-2</x:v>
      </x:c>
      <x:c r="L39" s="10" t="str">
        <x:v>AI assistant preparing Rameen assignment at Raazia request</x:v>
      </x:c>
      <x:c r="M39" s="10" t="d">
        <x:v>2026-10-22T09:45:36.755Z</x:v>
      </x:c>
      <x:c r="N39" s="16" t="str"/>
    </x:row>
    <x:row r="40" ht="90" customHeight="1">
      <x:c r="A40" s="10" t="str">
        <x:v>S018</x:v>
      </x:c>
      <x:c r="B40" s="10" t="str">
        <x:v>P020</x:v>
      </x:c>
      <x:c r="C40" s="10" t="str">
        <x:v>Q9</x:v>
      </x:c>
      <x:c r="D40" s="14" t="n">
        <x:v>1</x:v>
      </x:c>
      <x:c r="E40" s="14" t="n">
        <x:v>2</x:v>
      </x:c>
      <x:c r="F40" s="15" t="n">
        <x:v>1</x:v>
      </x:c>
      <x:c r="G40" s="15" t="n">
        <x:v>2</x:v>
      </x:c>
      <x:c r="H40" s="10" t="str">
        <x:v>Assessed</x:v>
      </x:c>
      <x:c r="I40" s="10" t="str">
        <x:v>MIG placement boundaries are defined but no direct adversarial/fault-containment test is supplied.</x:v>
      </x:c>
      <x:c r="J40" s="10" t="str">
        <x:v>PDF pp8-9,13-14; architectural constraints and local evaluation</x:v>
      </x:c>
      <x:c r="K40" s="10" t="str">
        <x:v>https://doi.org/10.1007/s10586-025-05284-2</x:v>
      </x:c>
      <x:c r="L40" s="10" t="str">
        <x:v>AI assistant preparing Rameen assignment at Raazia request</x:v>
      </x:c>
      <x:c r="M40" s="10" t="d">
        <x:v>2026-10-22T09:45:36.755Z</x:v>
      </x:c>
      <x:c r="N40" s="16" t="str"/>
    </x:row>
    <x:row r="41" ht="90" customHeight="1">
      <x:c r="A41" s="10" t="str">
        <x:v>S018</x:v>
      </x:c>
      <x:c r="B41" s="10" t="str">
        <x:v>P020</x:v>
      </x:c>
      <x:c r="C41" s="10" t="str">
        <x:v>Q10</x:v>
      </x:c>
      <x:c r="D41" s="14" t="n">
        <x:v>1</x:v>
      </x:c>
      <x:c r="E41" s="14" t="n">
        <x:v>2</x:v>
      </x:c>
      <x:c r="F41" s="15" t="n">
        <x:v>1</x:v>
      </x:c>
      <x:c r="G41" s="15" t="n">
        <x:v>2</x:v>
      </x:c>
      <x:c r="H41" s="10" t="str">
        <x:v>Assessed</x:v>
      </x:c>
      <x:c r="I41" s="10" t="str">
        <x:v>Implementation and prediction/reconfiguration limits are disclosed; complete artifact/version details remain unresolved.</x:v>
      </x:c>
      <x:c r="J41" s="10" t="str">
        <x:v>PDF pp11,18; sections3.2.5,6.4</x:v>
      </x:c>
      <x:c r="K41" s="10" t="str">
        <x:v>https://doi.org/10.1007/s10586-025-05284-2</x:v>
      </x:c>
      <x:c r="L41" s="10" t="str">
        <x:v>AI assistant preparing Rameen assignment at Raazia request</x:v>
      </x:c>
      <x:c r="M41" s="10" t="d">
        <x:v>2026-10-22T09:45:36.755Z</x:v>
      </x:c>
      <x:c r="N41" s="16" t="str"/>
    </x:row>
    <x:row r="42" ht="90" customHeight="1">
      <x:c r="A42" s="10" t="str">
        <x:v>S019</x:v>
      </x:c>
      <x:c r="B42" s="10" t="str">
        <x:v>P021</x:v>
      </x:c>
      <x:c r="C42" s="10" t="str">
        <x:v>Q1</x:v>
      </x:c>
      <x:c r="D42" s="14" t="n">
        <x:v>2</x:v>
      </x:c>
      <x:c r="E42" s="14" t="n">
        <x:v>2</x:v>
      </x:c>
      <x:c r="F42" s="15" t="n">
        <x:v>2</x:v>
      </x:c>
      <x:c r="G42" s="15" t="n">
        <x:v>2</x:v>
      </x:c>
      <x:c r="H42" s="10" t="str">
        <x:v>Assessed</x:v>
      </x:c>
      <x:c r="I42" s="10" t="str">
        <x:v>Kernel-wise spatial right-sizing for concurrent inference is explicit.</x:v>
      </x:c>
      <x:c r="J42" s="10" t="str">
        <x:v>PDF p1; abstract; sectionI</x:v>
      </x:c>
      <x:c r="K42" s="10" t="str">
        <x:v>https://danielwong.org/files/KRISP-HPCA2023.pdf</x:v>
      </x:c>
      <x:c r="L42" s="10" t="str">
        <x:v>AI assistant preparing Rameen assignment at Raazia request</x:v>
      </x:c>
      <x:c r="M42" s="10" t="d">
        <x:v>2026-10-22T08:47:26.581Z</x:v>
      </x:c>
      <x:c r="N42" s="16" t="str"/>
    </x:row>
    <x:row r="43" ht="90" customHeight="1">
      <x:c r="A43" s="10" t="str">
        <x:v>S019</x:v>
      </x:c>
      <x:c r="B43" s="10" t="str">
        <x:v>P021</x:v>
      </x:c>
      <x:c r="C43" s="10" t="str">
        <x:v>Q2</x:v>
      </x:c>
      <x:c r="D43" s="14" t="n">
        <x:v>2</x:v>
      </x:c>
      <x:c r="E43" s="14" t="n">
        <x:v>2</x:v>
      </x:c>
      <x:c r="F43" s="15" t="n">
        <x:v>2</x:v>
      </x:c>
      <x:c r="G43" s="15" t="n">
        <x:v>2</x:v>
      </x:c>
      <x:c r="H43" s="10" t="str">
        <x:v>Assessed</x:v>
      </x:c>
      <x:c r="I43" s="10" t="str">
        <x:v>Kernel-scoped partition proposal and emulation through CU masks are described.</x:v>
      </x:c>
      <x:c r="J43" s="10" t="str">
        <x:v>PDF pp5-9; sectionsIV-V</x:v>
      </x:c>
      <x:c r="K43" s="10" t="str">
        <x:v>https://danielwong.org/files/KRISP-HPCA2023.pdf</x:v>
      </x:c>
      <x:c r="L43" s="10" t="str">
        <x:v>AI assistant preparing Rameen assignment at Raazia request</x:v>
      </x:c>
      <x:c r="M43" s="10" t="d">
        <x:v>2026-10-22T08:47:26.581Z</x:v>
      </x:c>
      <x:c r="N43" s="16" t="str"/>
    </x:row>
    <x:row r="44" ht="90" customHeight="1">
      <x:c r="A44" s="10" t="str">
        <x:v>S019</x:v>
      </x:c>
      <x:c r="B44" s="10" t="str">
        <x:v>P021</x:v>
      </x:c>
      <x:c r="C44" s="10" t="str">
        <x:v>Q3</x:v>
      </x:c>
      <x:c r="D44" s="14" t="n">
        <x:v>1</x:v>
      </x:c>
      <x:c r="E44" s="14" t="n">
        <x:v>2</x:v>
      </x:c>
      <x:c r="F44" s="15" t="n">
        <x:v>1</x:v>
      </x:c>
      <x:c r="G44" s="15" t="n">
        <x:v>2</x:v>
      </x:c>
      <x:c r="H44" s="10" t="str">
        <x:v>Assessed</x:v>
      </x:c>
      <x:c r="I44" s="10" t="str">
        <x:v>Emulation correction is transparent; repeated-run uncertainty for headline results is not established.</x:v>
      </x:c>
      <x:c r="J44" s="10" t="str">
        <x:v>PDF pp9-11; sectionsV-B,VI</x:v>
      </x:c>
      <x:c r="K44" s="10" t="str">
        <x:v>https://danielwong.org/files/KRISP-HPCA2023.pdf</x:v>
      </x:c>
      <x:c r="L44" s="10" t="str">
        <x:v>AI assistant preparing Rameen assignment at Raazia request</x:v>
      </x:c>
      <x:c r="M44" s="10" t="d">
        <x:v>2026-10-22T08:47:26.581Z</x:v>
      </x:c>
      <x:c r="N44" s="16" t="str"/>
    </x:row>
    <x:row r="45" ht="90" customHeight="1">
      <x:c r="A45" s="10" t="str">
        <x:v>S019</x:v>
      </x:c>
      <x:c r="B45" s="10" t="str">
        <x:v>P021</x:v>
      </x:c>
      <x:c r="C45" s="10" t="str">
        <x:v>Q4</x:v>
      </x:c>
      <x:c r="D45" s="14" t="n">
        <x:v>2</x:v>
      </x:c>
      <x:c r="E45" s="14" t="n">
        <x:v>2</x:v>
      </x:c>
      <x:c r="F45" s="15" t="n">
        <x:v>2</x:v>
      </x:c>
      <x:c r="G45" s="15" t="n">
        <x:v>2</x:v>
      </x:c>
      <x:c r="H45" s="10" t="str">
        <x:v>Assessed</x:v>
      </x:c>
      <x:c r="I45" s="10" t="str">
        <x:v>MI50, host, Ubuntu/kernel, ROCm and model/worker/batch settings are supplied.</x:v>
      </x:c>
      <x:c r="J45" s="10" t="str">
        <x:v>PDF pp9-10; sectionVI-A; TableIII</x:v>
      </x:c>
      <x:c r="K45" s="10" t="str">
        <x:v>https://danielwong.org/files/KRISP-HPCA2023.pdf</x:v>
      </x:c>
      <x:c r="L45" s="10" t="str">
        <x:v>AI assistant preparing Rameen assignment at Raazia request</x:v>
      </x:c>
      <x:c r="M45" s="10" t="d">
        <x:v>2026-10-22T08:47:26.581Z</x:v>
      </x:c>
      <x:c r="N45" s="16" t="str"/>
    </x:row>
    <x:row r="46" ht="90" customHeight="1">
      <x:c r="A46" s="10" t="str">
        <x:v>S019</x:v>
      </x:c>
      <x:c r="B46" s="10" t="str">
        <x:v>P021</x:v>
      </x:c>
      <x:c r="C46" s="10" t="str">
        <x:v>Q5</x:v>
      </x:c>
      <x:c r="D46" s="14" t="n">
        <x:v>1</x:v>
      </x:c>
      <x:c r="E46" s="14" t="n">
        <x:v>2</x:v>
      </x:c>
      <x:c r="F46" s="15" t="n">
        <x:v>1</x:v>
      </x:c>
      <x:c r="G46" s="15" t="n">
        <x:v>2</x:v>
      </x:c>
      <x:c r="H46" s="10" t="str">
        <x:v>Assessed</x:v>
      </x:c>
      <x:c r="I46" s="10" t="str">
        <x:v>Model-wise policy permits CU overlap beyond prior isolation constraints; these cases are flagged and limit equivalence.</x:v>
      </x:c>
      <x:c r="J46" s="10" t="str">
        <x:v>PDF pp9-10; sectionVI-A</x:v>
      </x:c>
      <x:c r="K46" s="10" t="str">
        <x:v>https://danielwong.org/files/KRISP-HPCA2023.pdf</x:v>
      </x:c>
      <x:c r="L46" s="10" t="str">
        <x:v>AI assistant preparing Rameen assignment at Raazia request</x:v>
      </x:c>
      <x:c r="M46" s="10" t="d">
        <x:v>2026-10-22T08:47:26.581Z</x:v>
      </x:c>
      <x:c r="N46" s="16" t="str"/>
    </x:row>
    <x:row r="47" ht="90" customHeight="1">
      <x:c r="A47" s="10" t="str">
        <x:v>S019</x:v>
      </x:c>
      <x:c r="B47" s="10" t="str">
        <x:v>P021</x:v>
      </x:c>
      <x:c r="C47" s="10" t="str">
        <x:v>Q6</x:v>
      </x:c>
      <x:c r="D47" s="14" t="n">
        <x:v>2</x:v>
      </x:c>
      <x:c r="E47" s="14" t="n">
        <x:v>2</x:v>
      </x:c>
      <x:c r="F47" s="15" t="n">
        <x:v>2</x:v>
      </x:c>
      <x:c r="G47" s="15" t="n">
        <x:v>2</x:v>
      </x:c>
      <x:c r="H47" s="10" t="str">
        <x:v>Assessed</x:v>
      </x:c>
      <x:c r="I47" s="10" t="str">
        <x:v>RPS normalization and energy-per-inference measurement are defined; adjusted results estimate native support.</x:v>
      </x:c>
      <x:c r="J47" s="10" t="str">
        <x:v>PDF pp9-11; sectionsV-B,VI-B</x:v>
      </x:c>
      <x:c r="K47" s="10" t="str">
        <x:v>https://danielwong.org/files/KRISP-HPCA2023.pdf</x:v>
      </x:c>
      <x:c r="L47" s="10" t="str">
        <x:v>AI assistant preparing Rameen assignment at Raazia request</x:v>
      </x:c>
      <x:c r="M47" s="10" t="d">
        <x:v>2026-10-22T08:47:26.581Z</x:v>
      </x:c>
      <x:c r="N47" s="16" t="str"/>
    </x:row>
    <x:row r="48" ht="90" customHeight="1">
      <x:c r="A48" s="10" t="str">
        <x:v>S019</x:v>
      </x:c>
      <x:c r="B48" s="10" t="str">
        <x:v>P021</x:v>
      </x:c>
      <x:c r="C48" s="10" t="str">
        <x:v>Q7</x:v>
      </x:c>
      <x:c r="D48" s="14" t="n">
        <x:v>2</x:v>
      </x:c>
      <x:c r="E48" s="14" t="n">
        <x:v>2</x:v>
      </x:c>
      <x:c r="F48" s="15" t="n">
        <x:v>2</x:v>
      </x:c>
      <x:c r="G48" s="15" t="n">
        <x:v>2</x:v>
      </x:c>
      <x:c r="H48" s="10" t="str">
        <x:v>Assessed</x:v>
      </x:c>
      <x:c r="I48" s="10" t="str">
        <x:v>P95 latency and SLO evaluation are explicit under maximum-load inference.</x:v>
      </x:c>
      <x:c r="J48" s="10" t="str">
        <x:v>PDF pp10-11; TablesIII-IV; Figure13b</x:v>
      </x:c>
      <x:c r="K48" s="10" t="str">
        <x:v>https://danielwong.org/files/KRISP-HPCA2023.pdf</x:v>
      </x:c>
      <x:c r="L48" s="10" t="str">
        <x:v>AI assistant preparing Rameen assignment at Raazia request</x:v>
      </x:c>
      <x:c r="M48" s="10" t="d">
        <x:v>2026-10-22T08:47:26.581Z</x:v>
      </x:c>
      <x:c r="N48" s="16" t="str"/>
    </x:row>
    <x:row r="49" ht="90" customHeight="1">
      <x:c r="A49" s="10" t="str">
        <x:v>S019</x:v>
      </x:c>
      <x:c r="B49" s="10" t="str">
        <x:v>P021</x:v>
      </x:c>
      <x:c r="C49" s="10" t="str">
        <x:v>Q8</x:v>
      </x:c>
      <x:c r="D49" s="14" t="n">
        <x:v>2</x:v>
      </x:c>
      <x:c r="E49" s="14" t="n">
        <x:v>2</x:v>
      </x:c>
      <x:c r="F49" s="15" t="n">
        <x:v>2</x:v>
      </x:c>
      <x:c r="G49" s="15" t="n">
        <x:v>2</x:v>
      </x:c>
      <x:c r="H49" s="10" t="str">
        <x:v>Assessed</x:v>
      </x:c>
      <x:c r="I49" s="10" t="str">
        <x:v>One, two and four workers plus mixed-model pairs exercise contention.</x:v>
      </x:c>
      <x:c r="J49" s="10" t="str">
        <x:v>PDF pp10-12; Figures13-15</x:v>
      </x:c>
      <x:c r="K49" s="10" t="str">
        <x:v>https://danielwong.org/files/KRISP-HPCA2023.pdf</x:v>
      </x:c>
      <x:c r="L49" s="10" t="str">
        <x:v>AI assistant preparing Rameen assignment at Raazia request</x:v>
      </x:c>
      <x:c r="M49" s="10" t="d">
        <x:v>2026-10-22T08:47:26.581Z</x:v>
      </x:c>
      <x:c r="N49" s="16" t="str"/>
    </x:row>
    <x:row r="50" ht="90" customHeight="1">
      <x:c r="A50" s="10" t="str">
        <x:v>S019</x:v>
      </x:c>
      <x:c r="B50" s="10" t="str">
        <x:v>P021</x:v>
      </x:c>
      <x:c r="C50" s="10" t="str">
        <x:v>Q9</x:v>
      </x:c>
      <x:c r="D50" s="14" t="n">
        <x:v>1</x:v>
      </x:c>
      <x:c r="E50" s="14" t="n">
        <x:v>2</x:v>
      </x:c>
      <x:c r="F50" s="15" t="n">
        <x:v>2</x:v>
      </x:c>
      <x:c r="G50" s="15" t="n">
        <x:v>2</x:v>
      </x:c>
      <x:c r="H50" s="10" t="str">
        <x:v>Assessed</x:v>
      </x:c>
      <x:c r="I50" s="10" t="str">
        <x:v>KRISP-I prevents CU overlap and is compared with oversubscribed KRISP-O; this tests a compute-resource/performance boundary only.</x:v>
      </x:c>
      <x:c r="J50" s="10" t="str">
        <x:v>PDF pp10-12; KRISP-I/O definitions; Figures13,16</x:v>
      </x:c>
      <x:c r="K50" s="10" t="str">
        <x:v>https://danielwong.org/files/KRISP-HPCA2023.pdf</x:v>
      </x:c>
      <x:c r="L50" s="10" t="str">
        <x:v>AI assistant preparing Rameen assignment at Raazia request</x:v>
      </x:c>
      <x:c r="M50" s="10" t="d">
        <x:v>2026-10-22T08:47:26.581Z</x:v>
      </x:c>
      <x:c r="N50" s="16" t="str"/>
    </x:row>
    <x:row r="51" ht="90" customHeight="1">
      <x:c r="A51" s="10" t="str">
        <x:v>S019</x:v>
      </x:c>
      <x:c r="B51" s="10" t="str">
        <x:v>P021</x:v>
      </x:c>
      <x:c r="C51" s="10" t="str">
        <x:v>Q10</x:v>
      </x:c>
      <x:c r="D51" s="14" t="n">
        <x:v>1</x:v>
      </x:c>
      <x:c r="E51" s="14" t="n">
        <x:v>2</x:v>
      </x:c>
      <x:c r="F51" s="15" t="n">
        <x:v>2</x:v>
      </x:c>
      <x:c r="G51" s="15" t="n">
        <x:v>2</x:v>
      </x:c>
      <x:c r="H51" s="10" t="str">
        <x:v>Assessed</x:v>
      </x:c>
      <x:c r="I51" s="10" t="str">
        <x:v>Emulation calibration, adjusted latency formula and proposed hardware changes permit informed appraisal of implementation limits.</x:v>
      </x:c>
      <x:c r="J51" s="10" t="str">
        <x:v>PDF pp7-9; sectionsIV-D,V-B</x:v>
      </x:c>
      <x:c r="K51" s="10" t="str">
        <x:v>https://danielwong.org/files/KRISP-HPCA2023.pdf</x:v>
      </x:c>
      <x:c r="L51" s="10" t="str">
        <x:v>AI assistant preparing Rameen assignment at Raazia request</x:v>
      </x:c>
      <x:c r="M51" s="10" t="d">
        <x:v>2026-10-22T08:47:26.581Z</x:v>
      </x:c>
      <x:c r="N51" s="16" t="str"/>
    </x:row>
    <x:row r="52" ht="90" customHeight="1">
      <x:c r="A52" s="10" t="str">
        <x:v>S020</x:v>
      </x:c>
      <x:c r="B52" s="10" t="str">
        <x:v>P022</x:v>
      </x:c>
      <x:c r="C52" s="10" t="str">
        <x:v>Q1</x:v>
      </x:c>
      <x:c r="D52" s="14" t="n">
        <x:v>2</x:v>
      </x:c>
      <x:c r="E52" s="14" t="n">
        <x:v>2</x:v>
      </x:c>
      <x:c r="F52" s="15" t="n">
        <x:v>2</x:v>
      </x:c>
      <x:c r="G52" s="15" t="n">
        <x:v>2</x:v>
      </x:c>
      <x:c r="H52" s="10" t="str">
        <x:v>Assessed</x:v>
      </x:c>
      <x:c r="I52" s="10" t="str">
        <x:v>Performance isolation for high-priority inference with best-effort co-tenants is explicit.</x:v>
      </x:c>
      <x:c r="J52" s="10" t="str">
        <x:v>arXiv v3 PDF pp1-2</x:v>
      </x:c>
      <x:c r="K52" s="10" t="str">
        <x:v>https://arxiv.org/pdf/2410.07381v3</x:v>
      </x:c>
      <x:c r="L52" s="10" t="str">
        <x:v>AI assistant preparing Rameen assignment at Raazia request</x:v>
      </x:c>
      <x:c r="M52" s="10" t="d">
        <x:v>2026-10-22T08:47:26.581Z</x:v>
      </x:c>
      <x:c r="N52" s="16" t="str"/>
    </x:row>
    <x:row r="53" ht="90" customHeight="1">
      <x:c r="A53" s="10" t="str">
        <x:v>S020</x:v>
      </x:c>
      <x:c r="B53" s="10" t="str">
        <x:v>P022</x:v>
      </x:c>
      <x:c r="C53" s="10" t="str">
        <x:v>Q2</x:v>
      </x:c>
      <x:c r="D53" s="14" t="n">
        <x:v>2</x:v>
      </x:c>
      <x:c r="E53" s="14" t="n">
        <x:v>2</x:v>
      </x:c>
      <x:c r="F53" s="15" t="n">
        <x:v>2</x:v>
      </x:c>
      <x:c r="G53" s="15" t="n">
        <x:v>2</x:v>
      </x:c>
      <x:c r="H53" s="10" t="str">
        <x:v>Assessed</x:v>
      </x:c>
      <x:c r="I53" s="10" t="str">
        <x:v>Slicing, preemption, API mediation and profile-guided priority scheduling are described.</x:v>
      </x:c>
      <x:c r="J53" s="10" t="str">
        <x:v>arXiv v3 PDF pp5-8; section4</x:v>
      </x:c>
      <x:c r="K53" s="10" t="str">
        <x:v>https://arxiv.org/pdf/2410.07381v3</x:v>
      </x:c>
      <x:c r="L53" s="10" t="str">
        <x:v>AI assistant preparing Rameen assignment at Raazia request</x:v>
      </x:c>
      <x:c r="M53" s="10" t="d">
        <x:v>2026-10-22T08:47:26.581Z</x:v>
      </x:c>
      <x:c r="N53" s="16" t="str"/>
    </x:row>
    <x:row r="54" ht="90" customHeight="1">
      <x:c r="A54" s="10" t="str">
        <x:v>S020</x:v>
      </x:c>
      <x:c r="B54" s="10" t="str">
        <x:v>P022</x:v>
      </x:c>
      <x:c r="C54" s="10" t="str">
        <x:v>Q3</x:v>
      </x:c>
      <x:c r="D54" s="14" t="n">
        <x:v>1</x:v>
      </x:c>
      <x:c r="E54" s="14" t="n">
        <x:v>2</x:v>
      </x:c>
      <x:c r="F54" s="15" t="n">
        <x:v>1</x:v>
      </x:c>
      <x:c r="G54" s="15" t="n">
        <x:v>2</x:v>
      </x:c>
      <x:c r="H54" s="10" t="str">
        <x:v>Assessed</x:v>
      </x:c>
      <x:c r="I54" s="10" t="str">
        <x:v>Profiler averages repeated measurements, but end-to-end repetitions and uncertainty remain unspecified.</x:v>
      </x:c>
      <x:c r="J54" s="10" t="str">
        <x:v>arXiv v3 PDF pp8-11; sections4.2,5.1-5.3</x:v>
      </x:c>
      <x:c r="K54" s="10" t="str">
        <x:v>https://arxiv.org/pdf/2410.07381v3</x:v>
      </x:c>
      <x:c r="L54" s="10" t="str">
        <x:v>AI assistant preparing Rameen assignment at Raazia request</x:v>
      </x:c>
      <x:c r="M54" s="10" t="d">
        <x:v>2026-10-22T08:47:26.581Z</x:v>
      </x:c>
      <x:c r="N54" s="16" t="str"/>
    </x:row>
    <x:row r="55" ht="90" customHeight="1">
      <x:c r="A55" s="10" t="str">
        <x:v>S020</x:v>
      </x:c>
      <x:c r="B55" s="10" t="str">
        <x:v>P022</x:v>
      </x:c>
      <x:c r="C55" s="10" t="str">
        <x:v>Q4</x:v>
      </x:c>
      <x:c r="D55" s="14" t="n">
        <x:v>2</x:v>
      </x:c>
      <x:c r="E55" s="14" t="n">
        <x:v>2</x:v>
      </x:c>
      <x:c r="F55" s="15" t="n">
        <x:v>2</x:v>
      </x:c>
      <x:c r="G55" s="15" t="n">
        <x:v>2</x:v>
      </x:c>
      <x:c r="H55" s="10" t="str">
        <x:v>Assessed</x:v>
      </x:c>
      <x:c r="I55" s="10" t="str">
        <x:v>A100 SXM, host, runtime versions and six training/six inference models are explicit.</x:v>
      </x:c>
      <x:c r="J55" s="10" t="str">
        <x:v>arXiv v3 PDF p9; Table2; section5.1</x:v>
      </x:c>
      <x:c r="K55" s="10" t="str">
        <x:v>https://arxiv.org/pdf/2410.07381v3</x:v>
      </x:c>
      <x:c r="L55" s="10" t="str">
        <x:v>AI assistant preparing Rameen assignment at Raazia request</x:v>
      </x:c>
      <x:c r="M55" s="10" t="d">
        <x:v>2026-10-22T08:47:26.581Z</x:v>
      </x:c>
      <x:c r="N55" s="16" t="str"/>
    </x:row>
    <x:row r="56" ht="90" customHeight="1">
      <x:c r="A56" s="10" t="str">
        <x:v>S020</x:v>
      </x:c>
      <x:c r="B56" s="10" t="str">
        <x:v>P022</x:v>
      </x:c>
      <x:c r="C56" s="10" t="str">
        <x:v>Q5</x:v>
      </x:c>
      <x:c r="D56" s="14" t="n">
        <x:v>1</x:v>
      </x:c>
      <x:c r="E56" s="14" t="n">
        <x:v>2</x:v>
      </x:c>
      <x:c r="F56" s="15" t="n">
        <x:v>2</x:v>
      </x:c>
      <x:c r="G56" s="15" t="n">
        <x:v>2</x:v>
      </x:c>
      <x:c r="H56" s="10" t="str">
        <x:v>Assessed</x:v>
      </x:c>
      <x:c r="I56" s="10" t="str">
        <x:v>Common workloads, adapted trace, load, hardware and normalized metrics are documented for the four comparison mechanisms.</x:v>
      </x:c>
      <x:c r="J56" s="10" t="str">
        <x:v>arXiv v3 PDF pp9-11; sections5.1-5.3</x:v>
      </x:c>
      <x:c r="K56" s="10" t="str">
        <x:v>https://arxiv.org/pdf/2410.07381v3</x:v>
      </x:c>
      <x:c r="L56" s="10" t="str">
        <x:v>AI assistant preparing Rameen assignment at Raazia request</x:v>
      </x:c>
      <x:c r="M56" s="10" t="d">
        <x:v>2026-10-22T08:47:26.581Z</x:v>
      </x:c>
      <x:c r="N56" s="16" t="str"/>
    </x:row>
    <x:row r="57" ht="90" customHeight="1">
      <x:c r="A57" s="10" t="str">
        <x:v>S020</x:v>
      </x:c>
      <x:c r="B57" s="10" t="str">
        <x:v>P022</x:v>
      </x:c>
      <x:c r="C57" s="10" t="str">
        <x:v>Q6</x:v>
      </x:c>
      <x:c r="D57" s="14" t="n">
        <x:v>2</x:v>
      </x:c>
      <x:c r="E57" s="14" t="n">
        <x:v>2</x:v>
      </x:c>
      <x:c r="F57" s="15" t="n">
        <x:v>2</x:v>
      </x:c>
      <x:c r="G57" s="15" t="n">
        <x:v>2</x:v>
      </x:c>
      <x:c r="H57" s="10" t="str">
        <x:v>Assessed</x:v>
      </x:c>
      <x:c r="I57" s="10" t="str">
        <x:v>System throughput sums normalized throughput of all concurrent workloads; it is not background throughput alone.</x:v>
      </x:c>
      <x:c r="J57" s="10" t="str">
        <x:v>arXiv v3 PDF pp9-10; sections5.1,5.3</x:v>
      </x:c>
      <x:c r="K57" s="10" t="str">
        <x:v>https://arxiv.org/pdf/2410.07381v3</x:v>
      </x:c>
      <x:c r="L57" s="10" t="str">
        <x:v>AI assistant preparing Rameen assignment at Raazia request</x:v>
      </x:c>
      <x:c r="M57" s="10" t="d">
        <x:v>2026-10-22T08:47:26.581Z</x:v>
      </x:c>
      <x:c r="N57" s="16" t="str"/>
    </x:row>
    <x:row r="58" ht="90" customHeight="1">
      <x:c r="A58" s="10" t="str">
        <x:v>S020</x:v>
      </x:c>
      <x:c r="B58" s="10" t="str">
        <x:v>P022</x:v>
      </x:c>
      <x:c r="C58" s="10" t="str">
        <x:v>Q7</x:v>
      </x:c>
      <x:c r="D58" s="14" t="n">
        <x:v>2</x:v>
      </x:c>
      <x:c r="E58" s="14" t="n">
        <x:v>2</x:v>
      </x:c>
      <x:c r="F58" s="15" t="n">
        <x:v>2</x:v>
      </x:c>
      <x:c r="G58" s="15" t="n">
        <x:v>2</x:v>
      </x:c>
      <x:c r="H58" s="10" t="str">
        <x:v>Assessed</x:v>
      </x:c>
      <x:c r="I58" s="10" t="str">
        <x:v>P99 latency, 50% end-to-end load and 10%-90% idle-time sensitivity are specified.</x:v>
      </x:c>
      <x:c r="J58" s="10" t="str">
        <x:v>arXiv v3 PDF pp9-11; Figures5-6</x:v>
      </x:c>
      <x:c r="K58" s="10" t="str">
        <x:v>https://arxiv.org/pdf/2410.07381v3</x:v>
      </x:c>
      <x:c r="L58" s="10" t="str">
        <x:v>AI assistant preparing Rameen assignment at Raazia request</x:v>
      </x:c>
      <x:c r="M58" s="10" t="d">
        <x:v>2026-10-22T08:47:26.581Z</x:v>
      </x:c>
      <x:c r="N58" s="16" t="str"/>
    </x:row>
    <x:row r="59" ht="90" customHeight="1">
      <x:c r="A59" s="10" t="str">
        <x:v>S020</x:v>
      </x:c>
      <x:c r="B59" s="10" t="str">
        <x:v>P022</x:v>
      </x:c>
      <x:c r="C59" s="10" t="str">
        <x:v>Q8</x:v>
      </x:c>
      <x:c r="D59" s="14" t="n">
        <x:v>2</x:v>
      </x:c>
      <x:c r="E59" s="14" t="n">
        <x:v>2</x:v>
      </x:c>
      <x:c r="F59" s="15" t="n">
        <x:v>2</x:v>
      </x:c>
      <x:c r="G59" s="15" t="n">
        <x:v>2</x:v>
      </x:c>
      <x:c r="H59" s="10" t="str">
        <x:v>Assessed</x:v>
      </x:c>
      <x:c r="I59" s="10" t="str">
        <x:v>Inference/training pairs and scaling to multiple inference workloads are evaluated on a shared GPU.</x:v>
      </x:c>
      <x:c r="J59" s="10" t="str">
        <x:v>arXiv v3 PDF pp9-11; sections5.2-5.4</x:v>
      </x:c>
      <x:c r="K59" s="10" t="str">
        <x:v>https://arxiv.org/pdf/2410.07381v3</x:v>
      </x:c>
      <x:c r="L59" s="10" t="str">
        <x:v>AI assistant preparing Rameen assignment at Raazia request</x:v>
      </x:c>
      <x:c r="M59" s="10" t="d">
        <x:v>2026-10-22T08:47:26.581Z</x:v>
      </x:c>
      <x:c r="N59" s="16" t="str"/>
    </x:row>
    <x:row r="60" ht="90" customHeight="1">
      <x:c r="A60" s="10" t="str">
        <x:v>S020</x:v>
      </x:c>
      <x:c r="B60" s="10" t="str">
        <x:v>P022</x:v>
      </x:c>
      <x:c r="C60" s="10" t="str">
        <x:v>Q9</x:v>
      </x:c>
      <x:c r="D60" s="14" t="n">
        <x:v>1</x:v>
      </x:c>
      <x:c r="E60" s="14" t="n">
        <x:v>2</x:v>
      </x:c>
      <x:c r="F60" s="15" t="n">
        <x:v>2</x:v>
      </x:c>
      <x:c r="G60" s="15" t="n">
        <x:v>2</x:v>
      </x:c>
      <x:c r="H60" s="10" t="str">
        <x:v>Assessed</x:v>
      </x:c>
      <x:c r="I60" s="10" t="str">
        <x:v>P99 and workload-pair tests directly assess performance isolation; no adversarial memory or cross-tenant fault guarantee is inferred.</x:v>
      </x:c>
      <x:c r="J60" s="10" t="str">
        <x:v>arXiv v3 PDF pp9-13; sections5-6</x:v>
      </x:c>
      <x:c r="K60" s="10" t="str">
        <x:v>https://arxiv.org/pdf/2410.07381v3</x:v>
      </x:c>
      <x:c r="L60" s="10" t="str">
        <x:v>AI assistant preparing Rameen assignment at Raazia request</x:v>
      </x:c>
      <x:c r="M60" s="10" t="d">
        <x:v>2026-10-22T08:47:26.581Z</x:v>
      </x:c>
      <x:c r="N60" s="16" t="str"/>
    </x:row>
    <x:row r="61" ht="90" customHeight="1">
      <x:c r="A61" s="10" t="str">
        <x:v>S020</x:v>
      </x:c>
      <x:c r="B61" s="10" t="str">
        <x:v>P022</x:v>
      </x:c>
      <x:c r="C61" s="10" t="str">
        <x:v>Q10</x:v>
      </x:c>
      <x:c r="D61" s="14" t="n">
        <x:v>2</x:v>
      </x:c>
      <x:c r="E61" s="14" t="n">
        <x:v>2</x:v>
      </x:c>
      <x:c r="F61" s="15" t="n">
        <x:v>2</x:v>
      </x:c>
      <x:c r="G61" s="15" t="n">
        <x:v>2</x:v>
      </x:c>
      <x:c r="H61" s="10" t="str">
        <x:v>Assessed</x:v>
      </x:c>
      <x:c r="I61" s="10" t="str">
        <x:v>Artifact setup, virtualization/kernel-transformation overhead and CUDA cooperative-kernel limitations are documented.</x:v>
      </x:c>
      <x:c r="J61" s="10" t="str">
        <x:v>arXiv v3 PDF pp12-14; sections5.7,6; AppendixA</x:v>
      </x:c>
      <x:c r="K61" s="10" t="str">
        <x:v>https://arxiv.org/pdf/2410.07381v3</x:v>
      </x:c>
      <x:c r="L61" s="10" t="str">
        <x:v>AI assistant preparing Rameen assignment at Raazia request</x:v>
      </x:c>
      <x:c r="M61" s="10" t="d">
        <x:v>2026-10-22T08:47:26.581Z</x:v>
      </x:c>
      <x:c r="N61" s="16" t="str"/>
    </x:row>
  </x:sheetData>
  <x:conditionalFormatting sqref="H2:H61">
    <x:cfRule type="containsText" dxfId="1" priority="1" operator="containsText" text="Pending"/>
  </x:conditionalFormatting>
  <x:dataValidations count="1">
    <x:dataValidation type="list" sqref="N2:N61">
      <x:formula1>"0,1,2,NA"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d867b92de14d9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22" hidden="0" customWidth="1"/>
    <x:col min="5" max="5" width="36" hidden="0" customWidth="1"/>
    <x:col min="6" max="6" width="100" hidden="0" customWidth="1"/>
    <x:col min="7" max="7" width="72" hidden="0" customWidth="1"/>
    <x:col min="8" max="8" width="72" hidden="0" customWidth="1"/>
    <x:col min="9" max="9" width="65" hidden="0" customWidth="1"/>
    <x:col min="10" max="10" width="30" hidden="0" customWidth="1"/>
    <x:col min="11" max="11" width="30" hidden="0" customWidth="1"/>
  </x:cols>
  <x:sheetData>
    <x:row r="1" ht="42" customHeight="1">
      <x:c r="A1" s="13" t="str">
        <x:v>Study ID</x:v>
      </x:c>
      <x:c r="B1" s="13" t="str">
        <x:v>Report ID</x:v>
      </x:c>
      <x:c r="C1" s="13" t="str">
        <x:v>Item ID</x:v>
      </x:c>
      <x:c r="D1" s="13" t="str">
        <x:v>Original decision</x:v>
      </x:c>
      <x:c r="E1" s="13" t="str">
        <x:v>Review decision</x:v>
      </x:c>
      <x:c r="F1" s="13" t="str">
        <x:v>Rationale</x:v>
      </x:c>
      <x:c r="G1" s="13" t="str">
        <x:v>Source anchor</x:v>
      </x:c>
      <x:c r="H1" s="13" t="str">
        <x:v>Source URL</x:v>
      </x:c>
      <x:c r="I1" s="13" t="str">
        <x:v>Reviewer</x:v>
      </x:c>
      <x:c r="J1" s="13" t="str">
        <x:v>Checked UTC</x:v>
      </x:c>
      <x:c r="K1" s="13" t="str">
        <x:v>Independent human decision</x:v>
      </x:c>
    </x:row>
    <x:row r="2" ht="90" customHeight="1">
      <x:c r="A2" s="10" t="str">
        <x:v>S015</x:v>
      </x:c>
      <x:c r="B2" s="10" t="str">
        <x:v>P015</x:v>
      </x:c>
      <x:c r="C2" s="10" t="str">
        <x:v>IC1</x:v>
      </x:c>
      <x:c r="D2" s="10" t="str">
        <x:v>eligible</x:v>
      </x:c>
      <x:c r="E2" s="10" t="str">
        <x:v>Supported in accessed version</x:v>
      </x:c>
      <x:c r="F2" s="10" t="str">
        <x:v>English final USENIX proceedings identity verified.</x:v>
      </x:c>
      <x:c r="G2" s="10" t="str">
        <x:v>PDF cover and pp2,23</x:v>
      </x:c>
      <x:c r="H2" s="10" t="str">
        <x:v>https://www.usenix.org/system/files/osdi25-shen-weihang.pdf</x:v>
      </x:c>
      <x:c r="I2" s="10" t="str">
        <x:v>AI assistant preparing Rameen assignment at Raazia request</x:v>
      </x:c>
      <x:c r="J2" s="10" t="d">
        <x:v>2026-10-22T08:47:26.581Z</x:v>
      </x:c>
      <x:c r="K2" s="10" t="str"/>
    </x:row>
    <x:row r="3" ht="90" customHeight="1">
      <x:c r="A3" s="10" t="str">
        <x:v>S015</x:v>
      </x:c>
      <x:c r="B3" s="10" t="str">
        <x:v>P015</x:v>
      </x:c>
      <x:c r="C3" s="10" t="str">
        <x:v>IC2</x:v>
      </x:c>
      <x:c r="D3" s="10" t="str">
        <x:v>eligible</x:v>
      </x:c>
      <x:c r="E3" s="10" t="str">
        <x:v>Supported in accessed version</x:v>
      </x:c>
      <x:c r="F3" s="10" t="str">
        <x:v>Temporal/API scheduling among concurrent GPU inference clients.</x:v>
      </x:c>
      <x:c r="G3" s="10" t="str">
        <x:v>PDF pp4-10; sections3-6</x:v>
      </x:c>
      <x:c r="H3" s="10" t="str">
        <x:v>https://www.usenix.org/system/files/osdi25-shen-weihang.pdf</x:v>
      </x:c>
      <x:c r="I3" s="10" t="str">
        <x:v>AI assistant preparing Rameen assignment at Raazia request</x:v>
      </x:c>
      <x:c r="J3" s="10" t="d">
        <x:v>2026-10-22T08:47:26.581Z</x:v>
      </x:c>
      <x:c r="K3" s="10" t="str"/>
    </x:row>
    <x:row r="4" ht="90" customHeight="1">
      <x:c r="A4" s="10" t="str">
        <x:v>S015</x:v>
      </x:c>
      <x:c r="B4" s="10" t="str">
        <x:v>P015</x:v>
      </x:c>
      <x:c r="C4" s="10" t="str">
        <x:v>IC3</x:v>
      </x:c>
      <x:c r="D4" s="10" t="str">
        <x:v>eligible</x:v>
      </x:c>
      <x:c r="E4" s="10" t="str">
        <x:v>Supported in accessed version</x:v>
      </x:c>
      <x:c r="F4" s="10" t="str">
        <x:v>Two BERT-large inference clients; non-GPU cases excluded from extraction.</x:v>
      </x:c>
      <x:c r="G4" s="10" t="str">
        <x:v>PDF p14; section8 case3</x:v>
      </x:c>
      <x:c r="H4" s="10" t="str">
        <x:v>https://www.usenix.org/system/files/osdi25-shen-weihang.pdf</x:v>
      </x:c>
      <x:c r="I4" s="10" t="str">
        <x:v>AI assistant preparing Rameen assignment at Raazia request</x:v>
      </x:c>
      <x:c r="J4" s="10" t="d">
        <x:v>2026-10-22T08:47:26.581Z</x:v>
      </x:c>
      <x:c r="K4" s="10" t="str"/>
    </x:row>
    <x:row r="5" ht="90" customHeight="1">
      <x:c r="A5" s="10" t="str">
        <x:v>S015</x:v>
      </x:c>
      <x:c r="B5" s="10" t="str">
        <x:v>P015</x:v>
      </x:c>
      <x:c r="C5" s="10" t="str">
        <x:v>IC4</x:v>
      </x:c>
      <x:c r="D5" s="10" t="str">
        <x:v>eligible</x:v>
      </x:c>
      <x:c r="E5" s="10" t="str">
        <x:v>Supported in accessed version</x:v>
      </x:c>
      <x:c r="F5" s="10" t="str">
        <x:v>P99 ratio and throughput-latency evidence inspectable.</x:v>
      </x:c>
      <x:c r="G5" s="10" t="str">
        <x:v>PDF p14; Figure15a</x:v>
      </x:c>
      <x:c r="H5" s="10" t="str">
        <x:v>https://www.usenix.org/system/files/osdi25-shen-weihang.pdf</x:v>
      </x:c>
      <x:c r="I5" s="10" t="str">
        <x:v>AI assistant preparing Rameen assignment at Raazia request</x:v>
      </x:c>
      <x:c r="J5" s="10" t="d">
        <x:v>2026-10-22T08:47:26.581Z</x:v>
      </x:c>
      <x:c r="K5" s="10" t="str"/>
    </x:row>
    <x:row r="6" ht="90" customHeight="1">
      <x:c r="A6" s="10" t="str">
        <x:v>S015</x:v>
      </x:c>
      <x:c r="B6" s="10" t="str">
        <x:v>P015</x:v>
      </x:c>
      <x:c r="C6" s="10" t="str">
        <x:v>IC5</x:v>
      </x:c>
      <x:c r="D6" s="10" t="str">
        <x:v>eligible</x:v>
      </x:c>
      <x:c r="E6" s="10" t="str">
        <x:v>Supported in accessed version</x:v>
      </x:c>
      <x:c r="F6" s="10" t="str">
        <x:v>Single-GV100 inference case is separately reported.</x:v>
      </x:c>
      <x:c r="G6" s="10" t="str">
        <x:v>PDF p14; single GV100 experiment</x:v>
      </x:c>
      <x:c r="H6" s="10" t="str">
        <x:v>https://www.usenix.org/system/files/osdi25-shen-weihang.pdf</x:v>
      </x:c>
      <x:c r="I6" s="10" t="str">
        <x:v>AI assistant preparing Rameen assignment at Raazia request</x:v>
      </x:c>
      <x:c r="J6" s="10" t="d">
        <x:v>2026-10-22T08:47:26.581Z</x:v>
      </x:c>
      <x:c r="K6" s="10" t="str"/>
    </x:row>
    <x:row r="7" ht="90" customHeight="1">
      <x:c r="A7" s="10" t="str">
        <x:v>S015</x:v>
      </x:c>
      <x:c r="B7" s="10" t="str">
        <x:v>P015</x:v>
      </x:c>
      <x:c r="C7" s="10" t="str">
        <x:v>IC6</x:v>
      </x:c>
      <x:c r="D7" s="10" t="str">
        <x:v>eligible</x:v>
      </x:c>
      <x:c r="E7" s="10" t="str">
        <x:v>Supported in accessed version</x:v>
      </x:c>
      <x:c r="F7" s="10" t="str">
        <x:v>2025 lies within the main publication window.</x:v>
      </x:c>
      <x:c r="G7" s="10" t="str">
        <x:v>PDF cover: OSDI2025</x:v>
      </x:c>
      <x:c r="H7" s="10" t="str">
        <x:v>https://www.usenix.org/system/files/osdi25-shen-weihang.pdf</x:v>
      </x:c>
      <x:c r="I7" s="10" t="str">
        <x:v>AI assistant preparing Rameen assignment at Raazia request</x:v>
      </x:c>
      <x:c r="J7" s="10" t="d">
        <x:v>2026-10-22T08:47:26.581Z</x:v>
      </x:c>
      <x:c r="K7" s="10" t="str"/>
    </x:row>
    <x:row r="8" ht="90" customHeight="1">
      <x:c r="A8" s="10" t="str">
        <x:v>S016</x:v>
      </x:c>
      <x:c r="B8" s="10" t="str">
        <x:v>P018</x:v>
      </x:c>
      <x:c r="C8" s="10" t="str">
        <x:v>IC1</x:v>
      </x:c>
      <x:c r="D8" s="10" t="str">
        <x:v>eligible</x:v>
      </x:c>
      <x:c r="E8" s="10" t="str">
        <x:v>Supported in accessed version</x:v>
      </x:c>
      <x:c r="F8" s="10" t="str">
        <x:v>English journal primary study;typeset DOI/title/year match.</x:v>
      </x:c>
      <x:c r="G8" s="10" t="str">
        <x:v>PDFp1</x:v>
      </x:c>
      <x:c r="H8" s="10" t="str">
        <x:v>https://www.sciencedirect.com/science/article/pii/S0167739X23003187</x:v>
      </x:c>
      <x:c r="I8" s="10" t="str">
        <x:v>AI assistant preparing Rameen assignment at Raazia request</x:v>
      </x:c>
      <x:c r="J8" s="10" t="d">
        <x:v>2026-10-22T10:36:03.422Z</x:v>
      </x:c>
      <x:c r="K8" s="10" t="str"/>
    </x:row>
    <x:row r="9" ht="90" customHeight="1">
      <x:c r="A9" s="10" t="str">
        <x:v>S016</x:v>
      </x:c>
      <x:c r="B9" s="10" t="str">
        <x:v>P018</x:v>
      </x:c>
      <x:c r="C9" s="10" t="str">
        <x:v>IC2</x:v>
      </x:c>
      <x:c r="D9" s="10" t="str">
        <x:v>eligible</x:v>
      </x:c>
      <x:c r="E9" s="10" t="str">
        <x:v>Supported in accessed version</x:v>
      </x:c>
      <x:c r="F9" s="10" t="str">
        <x:v>TemporalSLO-aware scheduling with feedback goodput balancing.</x:v>
      </x:c>
      <x:c r="G9" s="10" t="str">
        <x:v>PDFpp5-8;section4</x:v>
      </x:c>
      <x:c r="H9" s="10" t="str">
        <x:v>https://www.sciencedirect.com/science/article/pii/S0167739X23003187</x:v>
      </x:c>
      <x:c r="I9" s="10" t="str">
        <x:v>AI assistant preparing Rameen assignment at Raazia request</x:v>
      </x:c>
      <x:c r="J9" s="10" t="d">
        <x:v>2026-10-22T10:36:03.422Z</x:v>
      </x:c>
      <x:c r="K9" s="10" t="str"/>
    </x:row>
    <x:row r="10" ht="90" customHeight="1">
      <x:c r="A10" s="10" t="str">
        <x:v>S016</x:v>
      </x:c>
      <x:c r="B10" s="10" t="str">
        <x:v>P018</x:v>
      </x:c>
      <x:c r="C10" s="10" t="str">
        <x:v>IC3</x:v>
      </x:c>
      <x:c r="D10" s="10" t="str">
        <x:v>eligible</x:v>
      </x:c>
      <x:c r="E10" s="10" t="str">
        <x:v>Supported in accessed version</x:v>
      </x:c>
      <x:c r="F10" s="10" t="str">
        <x:v>Concurrent heterogeneous DNN inference;three-model Table3 workload.</x:v>
      </x:c>
      <x:c r="G10" s="10" t="str">
        <x:v>PDFpp2,9;Tables1,3</x:v>
      </x:c>
      <x:c r="H10" s="10" t="str">
        <x:v>https://www.sciencedirect.com/science/article/pii/S0167739X23003187</x:v>
      </x:c>
      <x:c r="I10" s="10" t="str">
        <x:v>AI assistant preparing Rameen assignment at Raazia request</x:v>
      </x:c>
      <x:c r="J10" s="10" t="d">
        <x:v>2026-10-22T10:36:03.422Z</x:v>
      </x:c>
      <x:c r="K10" s="10" t="str"/>
    </x:row>
    <x:row r="11" ht="90" customHeight="1">
      <x:c r="A11" s="10" t="str">
        <x:v>S016</x:v>
      </x:c>
      <x:c r="B11" s="10" t="str">
        <x:v>P018</x:v>
      </x:c>
      <x:c r="C11" s="10" t="str">
        <x:v>IC4</x:v>
      </x:c>
      <x:c r="D11" s="10" t="str">
        <x:v>eligible</x:v>
      </x:c>
      <x:c r="E11" s="10" t="str">
        <x:v>Supported in accessed version</x:v>
      </x:c>
      <x:c r="F11" s="10" t="str">
        <x:v>InspectableSLO-compliant goodput and fairness with definitions.</x:v>
      </x:c>
      <x:c r="G11" s="10" t="str">
        <x:v>PDFpp2,8-9;Eq1-2;Table3</x:v>
      </x:c>
      <x:c r="H11" s="10" t="str">
        <x:v>https://www.sciencedirect.com/science/article/pii/S0167739X23003187</x:v>
      </x:c>
      <x:c r="I11" s="10" t="str">
        <x:v>AI assistant preparing Rameen assignment at Raazia request</x:v>
      </x:c>
      <x:c r="J11" s="10" t="d">
        <x:v>2026-10-22T10:36:03.422Z</x:v>
      </x:c>
      <x:c r="K11" s="10" t="str"/>
    </x:row>
    <x:row r="12" ht="90" customHeight="1">
      <x:c r="A12" s="10" t="str">
        <x:v>S016</x:v>
      </x:c>
      <x:c r="B12" s="10" t="str">
        <x:v>P018</x:v>
      </x:c>
      <x:c r="C12" s="10" t="str">
        <x:v>IC5</x:v>
      </x:c>
      <x:c r="D12" s="10" t="str">
        <x:v>eligible</x:v>
      </x:c>
      <x:c r="E12" s="10" t="str">
        <x:v>Supported in accessed version</x:v>
      </x:c>
      <x:c r="F12" s="10" t="str">
        <x:v>Local co-location tests separately reported fromfourGPU realistictrace.</x:v>
      </x:c>
      <x:c r="G12" s="10" t="str">
        <x:v>PDFp9;sections5.3-5.4</x:v>
      </x:c>
      <x:c r="H12" s="10" t="str">
        <x:v>https://www.sciencedirect.com/science/article/pii/S0167739X23003187</x:v>
      </x:c>
      <x:c r="I12" s="10" t="str">
        <x:v>AI assistant preparing Rameen assignment at Raazia request</x:v>
      </x:c>
      <x:c r="J12" s="10" t="d">
        <x:v>2026-10-22T10:36:03.422Z</x:v>
      </x:c>
      <x:c r="K12" s="10" t="str"/>
    </x:row>
    <x:row r="13" ht="90" customHeight="1">
      <x:c r="A13" s="10" t="str">
        <x:v>S016</x:v>
      </x:c>
      <x:c r="B13" s="10" t="str">
        <x:v>P018</x:v>
      </x:c>
      <x:c r="C13" s="10" t="str">
        <x:v>IC6</x:v>
      </x:c>
      <x:c r="D13" s="10" t="str">
        <x:v>eligible</x:v>
      </x:c>
      <x:c r="E13" s="10" t="str">
        <x:v>Supported in accessed version</x:v>
      </x:c>
      <x:c r="F13" s="10" t="str">
        <x:v>2024issue year within2020-2026window;online date18August2023 recorded separately.</x:v>
      </x:c>
      <x:c r="G13" s="10" t="str">
        <x:v>PDFp1</x:v>
      </x:c>
      <x:c r="H13" s="10" t="str">
        <x:v>https://www.sciencedirect.com/science/article/pii/S0167739X23003187</x:v>
      </x:c>
      <x:c r="I13" s="10" t="str">
        <x:v>AI assistant preparing Rameen assignment at Raazia request</x:v>
      </x:c>
      <x:c r="J13" s="10" t="d">
        <x:v>2026-10-22T10:36:03.422Z</x:v>
      </x:c>
      <x:c r="K13" s="10" t="str"/>
    </x:row>
    <x:row r="14" ht="90" customHeight="1">
      <x:c r="A14" s="10" t="str">
        <x:v>S017</x:v>
      </x:c>
      <x:c r="B14" s="10" t="str">
        <x:v>P019</x:v>
      </x:c>
      <x:c r="C14" s="10" t="str">
        <x:v>IC1</x:v>
      </x:c>
      <x:c r="D14" s="10" t="str">
        <x:v>eligible</x:v>
      </x:c>
      <x:c r="E14" s="10" t="str">
        <x:v>Supported in accessed version</x:v>
      </x:c>
      <x:c r="F14" s="10" t="str">
        <x:v>Peer-reviewed journal article, English, published2023.</x:v>
      </x:c>
      <x:c r="G14" s="10" t="str">
        <x:v>PDF p1</x:v>
      </x:c>
      <x:c r="H14" s="10" t="str">
        <x:v>https://doi.org/10.1007/s42514-023-00154-y</x:v>
      </x:c>
      <x:c r="I14" s="10" t="str">
        <x:v>AI assistant preparing Rameen assignment at Raazia request</x:v>
      </x:c>
      <x:c r="J14" s="10" t="d">
        <x:v>2026-10-22T09:45:36.755Z</x:v>
      </x:c>
      <x:c r="K14" s="10" t="str"/>
    </x:row>
    <x:row r="15" ht="90" customHeight="1">
      <x:c r="A15" s="10" t="str">
        <x:v>S017</x:v>
      </x:c>
      <x:c r="B15" s="10" t="str">
        <x:v>P019</x:v>
      </x:c>
      <x:c r="C15" s="10" t="str">
        <x:v>IC2</x:v>
      </x:c>
      <x:c r="D15" s="10" t="str">
        <x:v>eligible</x:v>
      </x:c>
      <x:c r="E15" s="10" t="str">
        <x:v>Supported in accessed version</x:v>
      </x:c>
      <x:c r="F15" s="10" t="str">
        <x:v>API-intercepted resource limiting among GPU co-tenants.</x:v>
      </x:c>
      <x:c r="G15" s="10" t="str">
        <x:v>PDF pp10-11; section4.3</x:v>
      </x:c>
      <x:c r="H15" s="10" t="str">
        <x:v>https://doi.org/10.1007/s42514-023-00154-y</x:v>
      </x:c>
      <x:c r="I15" s="10" t="str">
        <x:v>AI assistant preparing Rameen assignment at Raazia request</x:v>
      </x:c>
      <x:c r="J15" s="10" t="d">
        <x:v>2026-10-22T09:45:36.755Z</x:v>
      </x:c>
      <x:c r="K15" s="10" t="str"/>
    </x:row>
    <x:row r="16" ht="90" customHeight="1">
      <x:c r="A16" s="10" t="str">
        <x:v>S017</x:v>
      </x:c>
      <x:c r="B16" s="10" t="str">
        <x:v>P019</x:v>
      </x:c>
      <x:c r="C16" s="10" t="str">
        <x:v>IC3</x:v>
      </x:c>
      <x:c r="D16" s="10" t="str">
        <x:v>eligible</x:v>
      </x:c>
      <x:c r="E16" s="10" t="str">
        <x:v>Supported in accessed version</x:v>
      </x:c>
      <x:c r="F16" s="10" t="str">
        <x:v>Five inference models share resources with six training models.</x:v>
      </x:c>
      <x:c r="G16" s="10" t="str">
        <x:v>PDF pp4,11; Tables1-2; section5.1</x:v>
      </x:c>
      <x:c r="H16" s="10" t="str">
        <x:v>https://doi.org/10.1007/s42514-023-00154-y</x:v>
      </x:c>
      <x:c r="I16" s="10" t="str">
        <x:v>AI assistant preparing Rameen assignment at Raazia request</x:v>
      </x:c>
      <x:c r="J16" s="10" t="d">
        <x:v>2026-10-22T09:45:36.755Z</x:v>
      </x:c>
      <x:c r="K16" s="10" t="str"/>
    </x:row>
    <x:row r="17" ht="90" customHeight="1">
      <x:c r="A17" s="10" t="str">
        <x:v>S017</x:v>
      </x:c>
      <x:c r="B17" s="10" t="str">
        <x:v>P019</x:v>
      </x:c>
      <x:c r="C17" s="10" t="str">
        <x:v>IC4</x:v>
      </x:c>
      <x:c r="D17" s="10" t="str">
        <x:v>eligible</x:v>
      </x:c>
      <x:c r="E17" s="10" t="str">
        <x:v>Supported in accessed version</x:v>
      </x:c>
      <x:c r="F17" s="10" t="str">
        <x:v>P99, QPS and goodput results inspectable with comparator.</x:v>
      </x:c>
      <x:c r="G17" s="10" t="str">
        <x:v>PDF pp11-15; section5</x:v>
      </x:c>
      <x:c r="H17" s="10" t="str">
        <x:v>https://doi.org/10.1007/s42514-023-00154-y</x:v>
      </x:c>
      <x:c r="I17" s="10" t="str">
        <x:v>AI assistant preparing Rameen assignment at Raazia request</x:v>
      </x:c>
      <x:c r="J17" s="10" t="d">
        <x:v>2026-10-22T09:45:36.755Z</x:v>
      </x:c>
      <x:c r="K17" s="10" t="str"/>
    </x:row>
    <x:row r="18" ht="90" customHeight="1">
      <x:c r="A18" s="10" t="str">
        <x:v>S017</x:v>
      </x:c>
      <x:c r="B18" s="10" t="str">
        <x:v>P019</x:v>
      </x:c>
      <x:c r="C18" s="10" t="str">
        <x:v>IC5</x:v>
      </x:c>
      <x:c r="D18" s="10" t="str">
        <x:v>eligible</x:v>
      </x:c>
      <x:c r="E18" s="10" t="str">
        <x:v>Supported in accessed version</x:v>
      </x:c>
      <x:c r="F18" s="10" t="str">
        <x:v>Thirty local co-location pairs; four-GPU app-mix totals kept separate.</x:v>
      </x:c>
      <x:c r="G18" s="10" t="str">
        <x:v>PDF pp11-14; sections5.2-5.3</x:v>
      </x:c>
      <x:c r="H18" s="10" t="str">
        <x:v>https://doi.org/10.1007/s42514-023-00154-y</x:v>
      </x:c>
      <x:c r="I18" s="10" t="str">
        <x:v>AI assistant preparing Rameen assignment at Raazia request</x:v>
      </x:c>
      <x:c r="J18" s="10" t="d">
        <x:v>2026-10-22T09:45:36.755Z</x:v>
      </x:c>
      <x:c r="K18" s="10" t="str"/>
    </x:row>
    <x:row r="19" ht="90" customHeight="1">
      <x:c r="A19" s="10" t="str">
        <x:v>S017</x:v>
      </x:c>
      <x:c r="B19" s="10" t="str">
        <x:v>P019</x:v>
      </x:c>
      <x:c r="C19" s="10" t="str">
        <x:v>IC6</x:v>
      </x:c>
      <x:c r="D19" s="10" t="str">
        <x:v>eligible</x:v>
      </x:c>
      <x:c r="E19" s="10" t="str">
        <x:v>Supported in accessed version</x:v>
      </x:c>
      <x:c r="F19" s="10" t="str">
        <x:v>2023 is inside the submitted2020-2026 window.</x:v>
      </x:c>
      <x:c r="G19" s="10" t="str">
        <x:v>PDF p1</x:v>
      </x:c>
      <x:c r="H19" s="10" t="str">
        <x:v>https://doi.org/10.1007/s42514-023-00154-y</x:v>
      </x:c>
      <x:c r="I19" s="10" t="str">
        <x:v>AI assistant preparing Rameen assignment at Raazia request</x:v>
      </x:c>
      <x:c r="J19" s="10" t="d">
        <x:v>2026-10-22T09:45:36.755Z</x:v>
      </x:c>
      <x:c r="K19" s="10" t="str"/>
    </x:row>
    <x:row r="20" ht="90" customHeight="1">
      <x:c r="A20" s="10" t="str">
        <x:v>S018</x:v>
      </x:c>
      <x:c r="B20" s="10" t="str">
        <x:v>P020</x:v>
      </x:c>
      <x:c r="C20" s="10" t="str">
        <x:v>IC1</x:v>
      </x:c>
      <x:c r="D20" s="10" t="str">
        <x:v>eligible</x:v>
      </x:c>
      <x:c r="E20" s="10" t="str">
        <x:v>Supported in accessed version</x:v>
      </x:c>
      <x:c r="F20" s="10" t="str">
        <x:v>English peer-reviewed Cluster Computing article published2025.</x:v>
      </x:c>
      <x:c r="G20" s="10" t="str">
        <x:v>PDF p1</x:v>
      </x:c>
      <x:c r="H20" s="10" t="str">
        <x:v>https://doi.org/10.1007/s10586-025-05284-2</x:v>
      </x:c>
      <x:c r="I20" s="10" t="str">
        <x:v>AI assistant preparing Rameen assignment at Raazia request</x:v>
      </x:c>
      <x:c r="J20" s="10" t="d">
        <x:v>2026-10-22T09:45:36.755Z</x:v>
      </x:c>
      <x:c r="K20" s="10" t="str"/>
    </x:row>
    <x:row r="21" ht="90" customHeight="1">
      <x:c r="A21" s="10" t="str">
        <x:v>S018</x:v>
      </x:c>
      <x:c r="B21" s="10" t="str">
        <x:v>P020</x:v>
      </x:c>
      <x:c r="C21" s="10" t="str">
        <x:v>IC2</x:v>
      </x:c>
      <x:c r="D21" s="10" t="str">
        <x:v>eligible</x:v>
      </x:c>
      <x:c r="E21" s="10" t="str">
        <x:v>Supported in accessed version</x:v>
      </x:c>
      <x:c r="F21" s="10" t="str">
        <x:v>MIG placement and dynamic GPU partitioning are specified.</x:v>
      </x:c>
      <x:c r="G21" s="10" t="str">
        <x:v>PDF pp8-11; section3.2</x:v>
      </x:c>
      <x:c r="H21" s="10" t="str">
        <x:v>https://doi.org/10.1007/s10586-025-05284-2</x:v>
      </x:c>
      <x:c r="I21" s="10" t="str">
        <x:v>AI assistant preparing Rameen assignment at Raazia request</x:v>
      </x:c>
      <x:c r="J21" s="10" t="d">
        <x:v>2026-10-22T09:45:36.755Z</x:v>
      </x:c>
      <x:c r="K21" s="10" t="str"/>
    </x:row>
    <x:row r="22" ht="90" customHeight="1">
      <x:c r="A22" s="10" t="str">
        <x:v>S018</x:v>
      </x:c>
      <x:c r="B22" s="10" t="str">
        <x:v>P020</x:v>
      </x:c>
      <x:c r="C22" s="10" t="str">
        <x:v>IC3</x:v>
      </x:c>
      <x:c r="D22" s="10" t="str">
        <x:v>eligible</x:v>
      </x:c>
      <x:c r="E22" s="10" t="str">
        <x:v>Supported in accessed version</x:v>
      </x:c>
      <x:c r="F22" s="10" t="str">
        <x:v>Small-language-model inference jobs and batch ranges are identified.</x:v>
      </x:c>
      <x:c r="G22" s="10" t="str">
        <x:v>PDF pp11-12; Table2</x:v>
      </x:c>
      <x:c r="H22" s="10" t="str">
        <x:v>https://doi.org/10.1007/s10586-025-05284-2</x:v>
      </x:c>
      <x:c r="I22" s="10" t="str">
        <x:v>AI assistant preparing Rameen assignment at Raazia request</x:v>
      </x:c>
      <x:c r="J22" s="10" t="d">
        <x:v>2026-10-22T09:45:36.755Z</x:v>
      </x:c>
      <x:c r="K22" s="10" t="str"/>
    </x:row>
    <x:row r="23" ht="90" customHeight="1">
      <x:c r="A23" s="10" t="str">
        <x:v>S018</x:v>
      </x:c>
      <x:c r="B23" s="10" t="str">
        <x:v>P020</x:v>
      </x:c>
      <x:c r="C23" s="10" t="str">
        <x:v>IC4</x:v>
      </x:c>
      <x:c r="D23" s="10" t="str">
        <x:v>eligible</x:v>
      </x:c>
      <x:c r="E23" s="10" t="str">
        <x:v>Supported in accessed version</x:v>
      </x:c>
      <x:c r="F23" s="10" t="str">
        <x:v>Local JCT/STP and prediction-error sensitivity are inspectable; not online P99.</x:v>
      </x:c>
      <x:c r="G23" s="10" t="str">
        <x:v>PDF pp11-14; sections4.1-4.2</x:v>
      </x:c>
      <x:c r="H23" s="10" t="str">
        <x:v>https://doi.org/10.1007/s10586-025-05284-2</x:v>
      </x:c>
      <x:c r="I23" s="10" t="str">
        <x:v>AI assistant preparing Rameen assignment at Raazia request</x:v>
      </x:c>
      <x:c r="J23" s="10" t="d">
        <x:v>2026-10-22T09:45:36.755Z</x:v>
      </x:c>
      <x:c r="K23" s="10" t="str"/>
    </x:row>
    <x:row r="24" ht="90" customHeight="1">
      <x:c r="A24" s="10" t="str">
        <x:v>S018</x:v>
      </x:c>
      <x:c r="B24" s="10" t="str">
        <x:v>P020</x:v>
      </x:c>
      <x:c r="C24" s="10" t="str">
        <x:v>IC5</x:v>
      </x:c>
      <x:c r="D24" s="10" t="str">
        <x:v>eligible</x:v>
      </x:c>
      <x:c r="E24" s="10" t="str">
        <x:v>Supported in accessed version</x:v>
      </x:c>
      <x:c r="F24" s="10" t="str">
        <x:v>Sections4.2/4.3.1 use a single A30; section4.3.2 simulation kept separate.</x:v>
      </x:c>
      <x:c r="G24" s="10" t="str">
        <x:v>PDF pp13-14</x:v>
      </x:c>
      <x:c r="H24" s="10" t="str">
        <x:v>https://doi.org/10.1007/s10586-025-05284-2</x:v>
      </x:c>
      <x:c r="I24" s="10" t="str">
        <x:v>AI assistant preparing Rameen assignment at Raazia request</x:v>
      </x:c>
      <x:c r="J24" s="10" t="d">
        <x:v>2026-10-22T09:45:36.755Z</x:v>
      </x:c>
      <x:c r="K24" s="10" t="str"/>
    </x:row>
    <x:row r="25" ht="90" customHeight="1">
      <x:c r="A25" s="10" t="str">
        <x:v>S018</x:v>
      </x:c>
      <x:c r="B25" s="10" t="str">
        <x:v>P020</x:v>
      </x:c>
      <x:c r="C25" s="10" t="str">
        <x:v>IC6</x:v>
      </x:c>
      <x:c r="D25" s="10" t="str">
        <x:v>eligible</x:v>
      </x:c>
      <x:c r="E25" s="10" t="str">
        <x:v>Supported in accessed version</x:v>
      </x:c>
      <x:c r="F25" s="10" t="str">
        <x:v>2025 is inside the submitted2020-2026 window.</x:v>
      </x:c>
      <x:c r="G25" s="10" t="str">
        <x:v>PDF p1</x:v>
      </x:c>
      <x:c r="H25" s="10" t="str">
        <x:v>https://doi.org/10.1007/s10586-025-05284-2</x:v>
      </x:c>
      <x:c r="I25" s="10" t="str">
        <x:v>AI assistant preparing Rameen assignment at Raazia request</x:v>
      </x:c>
      <x:c r="J25" s="10" t="d">
        <x:v>2026-10-22T09:45:36.755Z</x:v>
      </x:c>
      <x:c r="K25" s="10" t="str"/>
    </x:row>
    <x:row r="26" ht="90" customHeight="1">
      <x:c r="A26" s="10" t="str">
        <x:v>S019</x:v>
      </x:c>
      <x:c r="B26" s="10" t="str">
        <x:v>P021</x:v>
      </x:c>
      <x:c r="C26" s="10" t="str">
        <x:v>IC1</x:v>
      </x:c>
      <x:c r="D26" s="10" t="str">
        <x:v>eligible</x:v>
      </x:c>
      <x:c r="E26" s="10" t="str">
        <x:v>Supported in accessed version</x:v>
      </x:c>
      <x:c r="F26" s="10" t="str">
        <x:v>Peer-reviewed HPCA2023 identity established; evidence version is author manuscript.</x:v>
      </x:c>
      <x:c r="G26" s="10" t="str">
        <x:v>PDF p1; title/authors; IEEE DOI metadata</x:v>
      </x:c>
      <x:c r="H26" s="10" t="str">
        <x:v>https://danielwong.org/files/KRISP-HPCA2023.pdf</x:v>
      </x:c>
      <x:c r="I26" s="10" t="str">
        <x:v>AI assistant preparing Rameen assignment at Raazia request</x:v>
      </x:c>
      <x:c r="J26" s="10" t="d">
        <x:v>2026-10-22T08:47:26.581Z</x:v>
      </x:c>
      <x:c r="K26" s="10" t="str"/>
    </x:row>
    <x:row r="27" ht="90" customHeight="1">
      <x:c r="A27" s="10" t="str">
        <x:v>S019</x:v>
      </x:c>
      <x:c r="B27" s="10" t="str">
        <x:v>P021</x:v>
      </x:c>
      <x:c r="C27" s="10" t="str">
        <x:v>IC2</x:v>
      </x:c>
      <x:c r="D27" s="10" t="str">
        <x:v>eligible</x:v>
      </x:c>
      <x:c r="E27" s="10" t="str">
        <x:v>Supported in accessed version</x:v>
      </x:c>
      <x:c r="F27" s="10" t="str">
        <x:v>Kernel-wise spatial partitioning among inference workers.</x:v>
      </x:c>
      <x:c r="G27" s="10" t="str">
        <x:v>PDF pp5-9; sectionsIV-V</x:v>
      </x:c>
      <x:c r="H27" s="10" t="str">
        <x:v>https://danielwong.org/files/KRISP-HPCA2023.pdf</x:v>
      </x:c>
      <x:c r="I27" s="10" t="str">
        <x:v>AI assistant preparing Rameen assignment at Raazia request</x:v>
      </x:c>
      <x:c r="J27" s="10" t="d">
        <x:v>2026-10-22T08:47:26.581Z</x:v>
      </x:c>
      <x:c r="K27" s="10" t="str"/>
    </x:row>
    <x:row r="28" ht="90" customHeight="1">
      <x:c r="A28" s="10" t="str">
        <x:v>S019</x:v>
      </x:c>
      <x:c r="B28" s="10" t="str">
        <x:v>P021</x:v>
      </x:c>
      <x:c r="C28" s="10" t="str">
        <x:v>IC3</x:v>
      </x:c>
      <x:c r="D28" s="10" t="str">
        <x:v>eligible</x:v>
      </x:c>
      <x:c r="E28" s="10" t="str">
        <x:v>Supported in accessed version</x:v>
      </x:c>
      <x:c r="F28" s="10" t="str">
        <x:v>Concurrent homogeneous and mixed-model inference workloads.</x:v>
      </x:c>
      <x:c r="G28" s="10" t="str">
        <x:v>PDF pp9-10; sectionVI-A; TableIII</x:v>
      </x:c>
      <x:c r="H28" s="10" t="str">
        <x:v>https://danielwong.org/files/KRISP-HPCA2023.pdf</x:v>
      </x:c>
      <x:c r="I28" s="10" t="str">
        <x:v>AI assistant preparing Rameen assignment at Raazia request</x:v>
      </x:c>
      <x:c r="J28" s="10" t="d">
        <x:v>2026-10-22T08:47:26.581Z</x:v>
      </x:c>
      <x:c r="K28" s="10" t="str"/>
    </x:row>
    <x:row r="29" ht="90" customHeight="1">
      <x:c r="A29" s="10" t="str">
        <x:v>S019</x:v>
      </x:c>
      <x:c r="B29" s="10" t="str">
        <x:v>P021</x:v>
      </x:c>
      <x:c r="C29" s="10" t="str">
        <x:v>IC4</x:v>
      </x:c>
      <x:c r="D29" s="10" t="str">
        <x:v>eligible</x:v>
      </x:c>
      <x:c r="E29" s="10" t="str">
        <x:v>Supported in accessed version</x:v>
      </x:c>
      <x:c r="F29" s="10" t="str">
        <x:v>P95 latency and throughput are inspectable, subject to emulation calibration.</x:v>
      </x:c>
      <x:c r="G29" s="10" t="str">
        <x:v>PDF pp10-11; Figure13; TableIII</x:v>
      </x:c>
      <x:c r="H29" s="10" t="str">
        <x:v>https://danielwong.org/files/KRISP-HPCA2023.pdf</x:v>
      </x:c>
      <x:c r="I29" s="10" t="str">
        <x:v>AI assistant preparing Rameen assignment at Raazia request</x:v>
      </x:c>
      <x:c r="J29" s="10" t="d">
        <x:v>2026-10-22T08:47:26.581Z</x:v>
      </x:c>
      <x:c r="K29" s="10" t="str"/>
    </x:row>
    <x:row r="30" ht="90" customHeight="1">
      <x:c r="A30" s="10" t="str">
        <x:v>S019</x:v>
      </x:c>
      <x:c r="B30" s="10" t="str">
        <x:v>P021</x:v>
      </x:c>
      <x:c r="C30" s="10" t="str">
        <x:v>IC5</x:v>
      </x:c>
      <x:c r="D30" s="10" t="str">
        <x:v>eligible</x:v>
      </x:c>
      <x:c r="E30" s="10" t="str">
        <x:v>Supported in accessed version</x:v>
      </x:c>
      <x:c r="F30" s="10" t="str">
        <x:v>One MI50 supports separately extractable co-tenant tests.</x:v>
      </x:c>
      <x:c r="G30" s="10" t="str">
        <x:v>PDF pp9-10; one MI50, multiple workers</x:v>
      </x:c>
      <x:c r="H30" s="10" t="str">
        <x:v>https://danielwong.org/files/KRISP-HPCA2023.pdf</x:v>
      </x:c>
      <x:c r="I30" s="10" t="str">
        <x:v>AI assistant preparing Rameen assignment at Raazia request</x:v>
      </x:c>
      <x:c r="J30" s="10" t="d">
        <x:v>2026-10-22T08:47:26.581Z</x:v>
      </x:c>
      <x:c r="K30" s="10" t="str"/>
    </x:row>
    <x:row r="31" ht="90" customHeight="1">
      <x:c r="A31" s="10" t="str">
        <x:v>S019</x:v>
      </x:c>
      <x:c r="B31" s="10" t="str">
        <x:v>P021</x:v>
      </x:c>
      <x:c r="C31" s="10" t="str">
        <x:v>IC6</x:v>
      </x:c>
      <x:c r="D31" s="10" t="str">
        <x:v>eligible</x:v>
      </x:c>
      <x:c r="E31" s="10" t="str">
        <x:v>Supported in accessed version</x:v>
      </x:c>
      <x:c r="F31" s="10" t="str">
        <x:v>2023 lies within the main publication window.</x:v>
      </x:c>
      <x:c r="G31" s="10" t="str">
        <x:v>IEEE HPCA2023 DOI metadata</x:v>
      </x:c>
      <x:c r="H31" s="10" t="str">
        <x:v>https://danielwong.org/files/KRISP-HPCA2023.pdf</x:v>
      </x:c>
      <x:c r="I31" s="10" t="str">
        <x:v>AI assistant preparing Rameen assignment at Raazia request</x:v>
      </x:c>
      <x:c r="J31" s="10" t="d">
        <x:v>2026-10-22T08:47:26.581Z</x:v>
      </x:c>
      <x:c r="K31" s="10" t="str"/>
    </x:row>
    <x:row r="32" ht="90" customHeight="1">
      <x:c r="A32" s="10" t="str">
        <x:v>S020</x:v>
      </x:c>
      <x:c r="B32" s="10" t="str">
        <x:v>P022</x:v>
      </x:c>
      <x:c r="C32" s="10" t="str">
        <x:v>IC1</x:v>
      </x:c>
      <x:c r="D32" s="10" t="str">
        <x:v>eligible</x:v>
      </x:c>
      <x:c r="E32" s="10" t="str">
        <x:v>Supported in accessed version</x:v>
      </x:c>
      <x:c r="F32" s="10" t="str">
        <x:v>ASPLOS2025 identity matches the v3 manuscript title/authors/DOI; exact publisher-byte equivalence unverified.</x:v>
      </x:c>
      <x:c r="G32" s="10" t="str">
        <x:v>arXiv v3 PDF p1; ASPLOS2025 DOI/conference/ISBN</x:v>
      </x:c>
      <x:c r="H32" s="10" t="str">
        <x:v>https://arxiv.org/pdf/2410.07381v3</x:v>
      </x:c>
      <x:c r="I32" s="10" t="str">
        <x:v>AI assistant preparing Rameen assignment at Raazia request</x:v>
      </x:c>
      <x:c r="J32" s="10" t="d">
        <x:v>2026-10-22T08:47:26.581Z</x:v>
      </x:c>
      <x:c r="K32" s="10" t="str"/>
    </x:row>
    <x:row r="33" ht="90" customHeight="1">
      <x:c r="A33" s="10" t="str">
        <x:v>S020</x:v>
      </x:c>
      <x:c r="B33" s="10" t="str">
        <x:v>P022</x:v>
      </x:c>
      <x:c r="C33" s="10" t="str">
        <x:v>IC2</x:v>
      </x:c>
      <x:c r="D33" s="10" t="str">
        <x:v>eligible</x:v>
      </x:c>
      <x:c r="E33" s="10" t="str">
        <x:v>Supported in accessed version</x:v>
      </x:c>
      <x:c r="F33" s="10" t="str">
        <x:v>API interception and thread-block priority scheduling share a GPU.</x:v>
      </x:c>
      <x:c r="G33" s="10" t="str">
        <x:v>arXiv v3 PDF pp5-8; section4</x:v>
      </x:c>
      <x:c r="H33" s="10" t="str">
        <x:v>https://arxiv.org/pdf/2410.07381v3</x:v>
      </x:c>
      <x:c r="I33" s="10" t="str">
        <x:v>AI assistant preparing Rameen assignment at Raazia request</x:v>
      </x:c>
      <x:c r="J33" s="10" t="d">
        <x:v>2026-10-22T08:47:26.581Z</x:v>
      </x:c>
      <x:c r="K33" s="10" t="str"/>
    </x:row>
    <x:row r="34" ht="90" customHeight="1">
      <x:c r="A34" s="10" t="str">
        <x:v>S020</x:v>
      </x:c>
      <x:c r="B34" s="10" t="str">
        <x:v>P022</x:v>
      </x:c>
      <x:c r="C34" s="10" t="str">
        <x:v>IC3</x:v>
      </x:c>
      <x:c r="D34" s="10" t="str">
        <x:v>eligible</x:v>
      </x:c>
      <x:c r="E34" s="10" t="str">
        <x:v>Supported in accessed version</x:v>
      </x:c>
      <x:c r="F34" s="10" t="str">
        <x:v>High-priority inference plus training, and multi-inference tests, are separable.</x:v>
      </x:c>
      <x:c r="G34" s="10" t="str">
        <x:v>arXiv v3 PDF pp9-11; Table2; Figures5-6</x:v>
      </x:c>
      <x:c r="H34" s="10" t="str">
        <x:v>https://arxiv.org/pdf/2410.07381v3</x:v>
      </x:c>
      <x:c r="I34" s="10" t="str">
        <x:v>AI assistant preparing Rameen assignment at Raazia request</x:v>
      </x:c>
      <x:c r="J34" s="10" t="d">
        <x:v>2026-10-22T08:47:26.581Z</x:v>
      </x:c>
      <x:c r="K34" s="10" t="str"/>
    </x:row>
    <x:row r="35" ht="90" customHeight="1">
      <x:c r="A35" s="10" t="str">
        <x:v>S020</x:v>
      </x:c>
      <x:c r="B35" s="10" t="str">
        <x:v>P022</x:v>
      </x:c>
      <x:c r="C35" s="10" t="str">
        <x:v>IC4</x:v>
      </x:c>
      <x:c r="D35" s="10" t="str">
        <x:v>eligible</x:v>
      </x:c>
      <x:c r="E35" s="10" t="str">
        <x:v>Supported in accessed version</x:v>
      </x:c>
      <x:c r="F35" s="10" t="str">
        <x:v>P99 and normalized total-system-throughput results are inspectable.</x:v>
      </x:c>
      <x:c r="G35" s="10" t="str">
        <x:v>arXiv v3 PDF pp9-10; sections5.1,5.3</x:v>
      </x:c>
      <x:c r="H35" s="10" t="str">
        <x:v>https://arxiv.org/pdf/2410.07381v3</x:v>
      </x:c>
      <x:c r="I35" s="10" t="str">
        <x:v>AI assistant preparing Rameen assignment at Raazia request</x:v>
      </x:c>
      <x:c r="J35" s="10" t="d">
        <x:v>2026-10-22T08:47:26.581Z</x:v>
      </x:c>
      <x:c r="K35" s="10" t="str"/>
    </x:row>
    <x:row r="36" ht="90" customHeight="1">
      <x:c r="A36" s="10" t="str">
        <x:v>S020</x:v>
      </x:c>
      <x:c r="B36" s="10" t="str">
        <x:v>P022</x:v>
      </x:c>
      <x:c r="C36" s="10" t="str">
        <x:v>IC5</x:v>
      </x:c>
      <x:c r="D36" s="10" t="str">
        <x:v>eligible</x:v>
      </x:c>
      <x:c r="E36" s="10" t="str">
        <x:v>Supported in accessed version</x:v>
      </x:c>
      <x:c r="F36" s="10" t="str">
        <x:v>Same-GPU workload results are distinct from the eight-GPU host inventory.</x:v>
      </x:c>
      <x:c r="G36" s="10" t="str">
        <x:v>arXiv v3 PDF p11; shared-GPU co-location discussion</x:v>
      </x:c>
      <x:c r="H36" s="10" t="str">
        <x:v>https://arxiv.org/pdf/2410.07381v3</x:v>
      </x:c>
      <x:c r="I36" s="10" t="str">
        <x:v>AI assistant preparing Rameen assignment at Raazia request</x:v>
      </x:c>
      <x:c r="J36" s="10" t="d">
        <x:v>2026-10-22T08:47:26.581Z</x:v>
      </x:c>
      <x:c r="K36" s="10" t="str"/>
    </x:row>
    <x:row r="37" ht="90" customHeight="1">
      <x:c r="A37" s="10" t="str">
        <x:v>S020</x:v>
      </x:c>
      <x:c r="B37" s="10" t="str">
        <x:v>P022</x:v>
      </x:c>
      <x:c r="C37" s="10" t="str">
        <x:v>IC6</x:v>
      </x:c>
      <x:c r="D37" s="10" t="str">
        <x:v>eligible</x:v>
      </x:c>
      <x:c r="E37" s="10" t="str">
        <x:v>Supported in accessed version</x:v>
      </x:c>
      <x:c r="F37" s="10" t="str">
        <x:v>2025 lies within the main publication window.</x:v>
      </x:c>
      <x:c r="G37" s="10" t="str">
        <x:v>arXiv v3 PDF p1; ASPLOS2025</x:v>
      </x:c>
      <x:c r="H37" s="10" t="str">
        <x:v>https://arxiv.org/pdf/2410.07381v3</x:v>
      </x:c>
      <x:c r="I37" s="10" t="str">
        <x:v>AI assistant preparing Rameen assignment at Raazia request</x:v>
      </x:c>
      <x:c r="J37" s="10" t="d">
        <x:v>2026-10-22T08:47:26.581Z</x:v>
      </x:c>
      <x:c r="K37" s="10" t="str"/>
    </x:row>
  </x:sheetData>
  <x:pageMargins left="0.7" right="0.7" top="0.75" bottom="0.75" header="0.3" footer="0.3"/>
  <x:tableParts count="1">
    <x:tablePart xmlns:r="http://schemas.openxmlformats.org/officeDocument/2006/relationships" r:id="Rf0e2277d979e49b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55" hidden="0" customWidth="1"/>
    <x:col min="4" max="4" width="20" hidden="0" customWidth="1"/>
    <x:col min="5" max="5" width="20" hidden="0" customWidth="1"/>
    <x:col min="6" max="6" width="60" hidden="0" customWidth="1"/>
    <x:col min="7" max="7" width="90" hidden="0" customWidth="1"/>
    <x:col min="8" max="8" width="76" hidden="0" customWidth="1"/>
    <x:col min="9" max="9" width="85" hidden="0" customWidth="1"/>
    <x:col min="10" max="10" width="70" hidden="0" customWidth="1"/>
    <x:col min="11" max="11" width="70" hidden="0" customWidth="1"/>
    <x:col min="12" max="12" width="55" hidden="0" customWidth="1"/>
    <x:col min="13" max="13" width="60" hidden="0" customWidth="1"/>
    <x:col min="14" max="14" width="26" hidden="0" customWidth="1"/>
    <x:col min="15" max="15" width="90" hidden="0" customWidth="1"/>
    <x:col min="16" max="16" width="65" hidden="0" customWidth="1"/>
    <x:col min="17" max="17" width="30" hidden="0" customWidth="1"/>
    <x:col min="18" max="18" width="24" hidden="0" customWidth="1"/>
  </x:cols>
  <x:sheetData>
    <x:row r="1" ht="42" customHeight="1">
      <x:c r="A1" s="13" t="str">
        <x:v>Evidence ID</x:v>
      </x:c>
      <x:c r="B1" s="13" t="str">
        <x:v>Report ID</x:v>
      </x:c>
      <x:c r="C1" s="13" t="str">
        <x:v>Metric</x:v>
      </x:c>
      <x:c r="D1" s="13" t="str">
        <x:v>Value</x:v>
      </x:c>
      <x:c r="E1" s="13" t="str">
        <x:v>Units</x:v>
      </x:c>
      <x:c r="F1" s="13" t="str">
        <x:v>Baseline</x:v>
      </x:c>
      <x:c r="G1" s="13" t="str">
        <x:v>Hardware</x:v>
      </x:c>
      <x:c r="H1" s="13" t="str">
        <x:v>Workload</x:v>
      </x:c>
      <x:c r="I1" s="13" t="str">
        <x:v>Interpretation</x:v>
      </x:c>
      <x:c r="J1" s="13" t="str">
        <x:v>Evidence location</x:v>
      </x:c>
      <x:c r="K1" s="13" t="str">
        <x:v>Source</x:v>
      </x:c>
      <x:c r="L1" s="13" t="str">
        <x:v>Original metric</x:v>
      </x:c>
      <x:c r="M1" s="13" t="str">
        <x:v>Original anchor</x:v>
      </x:c>
      <x:c r="N1" s="13" t="str">
        <x:v>Review status</x:v>
      </x:c>
      <x:c r="O1" s="13" t="str">
        <x:v>Review note</x:v>
      </x:c>
      <x:c r="P1" s="13" t="str">
        <x:v>Reviewer</x:v>
      </x:c>
      <x:c r="Q1" s="13" t="str">
        <x:v>Checked UTC</x:v>
      </x:c>
      <x:c r="R1" s="13" t="str">
        <x:v>Independent human vote</x:v>
      </x:c>
    </x:row>
    <x:row r="2" ht="90" customHeight="1">
      <x:c r="A2" s="10" t="str">
        <x:v>E044</x:v>
      </x:c>
      <x:c r="B2" s="10" t="str">
        <x:v>P015</x:v>
      </x:c>
      <x:c r="C2" s="10" t="str">
        <x:v>Reported high-priorityP99 latency ratio</x:v>
      </x:c>
      <x:c r="D2" s="10" t="str">
        <x:v>1.07</x:v>
      </x:c>
      <x:c r="E2" s="10" t="str">
        <x:v>x standalone</x:v>
      </x:c>
      <x:c r="F2" s="10" t="str">
        <x:v>standalone high-priorityBert-large execution</x:v>
      </x:c>
      <x:c r="G2" s="10" t="str">
        <x:v>single NVIDIA GV100 for extracted Triton/Paella case; NPU/ASIC/FPGA results outside extracted GPU outcomes</x:v>
      </x:c>
      <x:c r="H2" s="10" t="str">
        <x:v>twoBert-large clients ononeGV100;high-priority10req/s,backgroundcontinuous</x:v>
      </x:c>
      <x:c r="I2" s="10" t="str">
        <x:v>Triton+XSched;not a rawmillisecond value. NativeTriton ratio1.53x;noNPUresultincluded.</x:v>
      </x:c>
      <x:c r="J2" s="10" t="str">
        <x:v>PDF p14; printed p683; section8 case3; Figure15a</x:v>
      </x:c>
      <x:c r="K2" s="10" t="str">
        <x:v>https://www.usenix.org/system/files/osdi25-shen-weihang.pdf</x:v>
      </x:c>
      <x:c r="L2" s="10" t="str">
        <x:v>Reported high-priorityP99 latency ratio</x:v>
      </x:c>
      <x:c r="M2" s="10" t="str">
        <x:v>p683 section7.4 case3/Figure15a; PDF p14</x:v>
      </x:c>
      <x:c r="N2" s="10" t="str">
        <x:v>Value and context checked</x:v>
      </x:c>
      <x:c r="O2" s="10" t="str">
        <x:v>1.07x standalone and author-rounded 30.0% decrease are textual results; section7.4 label in inherited anchor corrected.</x:v>
      </x:c>
      <x:c r="P2" s="10" t="str">
        <x:v>AI assistant preparing Rameen assignment at Raazia request</x:v>
      </x:c>
      <x:c r="Q2" s="10" t="d">
        <x:v>2026-10-22T08:47:26.581Z</x:v>
      </x:c>
      <x:c r="R2" s="10" t="str"/>
    </x:row>
    <x:row r="3" ht="90" customHeight="1">
      <x:c r="A3" s="10" t="str">
        <x:v>E045</x:v>
      </x:c>
      <x:c r="B3" s="10" t="str">
        <x:v>P015</x:v>
      </x:c>
      <x:c r="C3" s="10" t="str">
        <x:v>Author-reported P99 latency reduction</x:v>
      </x:c>
      <x:c r="D3" s="10" t="str">
        <x:v>30.0</x:v>
      </x:c>
      <x:c r="E3" s="10" t="str">
        <x:v>percent</x:v>
      </x:c>
      <x:c r="F3" s="10" t="str">
        <x:v>vanillaTriton (P99=1.53xstandalone)</x:v>
      </x:c>
      <x:c r="G3" s="10" t="str">
        <x:v>single NVIDIA GV100 for extracted Triton/Paella case; NPU/ASIC/FPGA results outside extracted GPU outcomes</x:v>
      </x:c>
      <x:c r="H3" s="10" t="str">
        <x:v>same two-clientTriton/GV100case</x:v>
      </x:c>
      <x:c r="I3" s="10" t="str">
        <x:v>Within-paper comparison only;author-rounded30.0%,not a universal bound.</x:v>
      </x:c>
      <x:c r="J3" s="10" t="str">
        <x:v>PDF p14; printed p683; section8 case3; Figure15a</x:v>
      </x:c>
      <x:c r="K3" s="10" t="str">
        <x:v>https://www.usenix.org/system/files/osdi25-shen-weihang.pdf</x:v>
      </x:c>
      <x:c r="L3" s="10" t="str">
        <x:v>Author-reported P99 latency reduction</x:v>
      </x:c>
      <x:c r="M3" s="10" t="str">
        <x:v>p683 section7.4 case3/Figure15a; PDF p14</x:v>
      </x:c>
      <x:c r="N3" s="10" t="str">
        <x:v>Value and context checked</x:v>
      </x:c>
      <x:c r="O3" s="10" t="str">
        <x:v>1.07x standalone and author-rounded 30.0% decrease are textual results; section7.4 label in inherited anchor corrected.</x:v>
      </x:c>
      <x:c r="P3" s="10" t="str">
        <x:v>AI assistant preparing Rameen assignment at Raazia request</x:v>
      </x:c>
      <x:c r="Q3" s="10" t="d">
        <x:v>2026-10-22T08:47:26.581Z</x:v>
      </x:c>
      <x:c r="R3" s="10" t="str"/>
    </x:row>
    <x:row r="4" ht="90" customHeight="1">
      <x:c r="A4" s="10" t="str">
        <x:v>E046</x:v>
      </x:c>
      <x:c r="B4" s="10" t="str">
        <x:v>P018</x:v>
      </x:c>
      <x:c r="C4" s="10" t="str">
        <x:v>SLO-compliant goodput</x:v>
      </x:c>
      <x:c r="D4" s="10" t="str">
        <x:v>524.29</x:v>
      </x:c>
      <x:c r="E4" s="10" t="str">
        <x:v>requests/s</x:v>
      </x:c>
      <x:c r="F4" s="10" t="str">
        <x:v>Clockwork: 457.24 requests/s</x:v>
      </x:c>
      <x:c r="G4" s="10" t="str">
        <x:v>Dell PowerEdgeR740; V10032GB; local synthetic co-running experiment and separate four-GPU realistic trace.</x:v>
      </x:c>
      <x:c r="H4" s="10" t="str">
        <x:v>Local three-model load ratio 3:1:2</x:v>
      </x:c>
      <x:c r="I4" s="10" t="str">
        <x:v>Local outcome, not four-GPU replay or p99</x:v>
      </x:c>
      <x:c r="J4" s="10" t="str">
        <x:v>PDFp9 / publishedp18;Table3;unfairness definitionPDFp2 / publishedp11;Eq2</x:v>
      </x:c>
      <x:c r="K4" s="10" t="str">
        <x:v>https://www.sciencedirect.com/science/article/pii/S0167739X23003187</x:v>
      </x:c>
      <x:c r="L4" s="10" t="str">
        <x:v>SLO-compliant goodput</x:v>
      </x:c>
      <x:c r="M4" s="10" t="str">
        <x:v>Published pp. 17-18; Table 3</x:v>
      </x:c>
      <x:c r="N4" s="10" t="str">
        <x:v>Value and context checked</x:v>
      </x:c>
      <x:c r="O4" s="10" t="str">
        <x:v>Table3 row3:1:2 verifies524.29requests/s and unfairness1.05 versusClockwork457.24requests/s and1.50. Total600requests/s,SLO100ms,interval50ms. Not thefourGPU trace and not aP99 latency.</x:v>
      </x:c>
      <x:c r="P4" s="10" t="str">
        <x:v>AI assistant preparing Rameen assignment at Raazia request</x:v>
      </x:c>
      <x:c r="Q4" s="10" t="d">
        <x:v>2026-10-22T10:36:03.422Z</x:v>
      </x:c>
      <x:c r="R4" s="10" t="str"/>
    </x:row>
    <x:row r="5" ht="90" customHeight="1">
      <x:c r="A5" s="10" t="str">
        <x:v>E047</x:v>
      </x:c>
      <x:c r="B5" s="10" t="str">
        <x:v>P018</x:v>
      </x:c>
      <x:c r="C5" s="10" t="str">
        <x:v>Unfairness ratio</x:v>
      </x:c>
      <x:c r="D5" s="10" t="str">
        <x:v>1.05</x:v>
      </x:c>
      <x:c r="E5" s="10" t="str">
        <x:v>ratio</x:v>
      </x:c>
      <x:c r="F5" s="10" t="str">
        <x:v>Clockwork: 1.50</x:v>
      </x:c>
      <x:c r="G5" s="10" t="str">
        <x:v>Dell PowerEdgeR740; V10032GB; local synthetic co-running experiment and separate four-GPU realistic trace.</x:v>
      </x:c>
      <x:c r="H5" s="10" t="str">
        <x:v>Local three-model load ratio 3:1:2</x:v>
      </x:c>
      <x:c r="I5" s="10" t="str">
        <x:v>Maximum/minimum model slowdown; not security isolation</x:v>
      </x:c>
      <x:c r="J5" s="10" t="str">
        <x:v>PDFp9 / publishedp18;Table3;unfairness definitionPDFp2 / publishedp11;Eq2</x:v>
      </x:c>
      <x:c r="K5" s="10" t="str">
        <x:v>https://www.sciencedirect.com/science/article/pii/S0167739X23003187</x:v>
      </x:c>
      <x:c r="L5" s="10" t="str">
        <x:v>Unfairness ratio</x:v>
      </x:c>
      <x:c r="M5" s="10" t="str">
        <x:v>Published pp. 17-18; Table 3; Eq. 2</x:v>
      </x:c>
      <x:c r="N5" s="10" t="str">
        <x:v>Value and context checked</x:v>
      </x:c>
      <x:c r="O5" s="10" t="str">
        <x:v>Table3 row3:1:2 verifies524.29requests/s and unfairness1.05 versusClockwork457.24requests/s and1.50. Total600requests/s,SLO100ms,interval50ms. Not thefourGPU trace and not aP99 latency.</x:v>
      </x:c>
      <x:c r="P5" s="10" t="str">
        <x:v>AI assistant preparing Rameen assignment at Raazia request</x:v>
      </x:c>
      <x:c r="Q5" s="10" t="d">
        <x:v>2026-10-22T10:36:03.422Z</x:v>
      </x:c>
      <x:c r="R5" s="10" t="str"/>
    </x:row>
    <x:row r="6" ht="90" customHeight="1">
      <x:c r="A6" s="10" t="str">
        <x:v>E048</x:v>
      </x:c>
      <x:c r="B6" s="10" t="str">
        <x:v>P019</x:v>
      </x:c>
      <x:c r="C6" s="10" t="str">
        <x:v>Pairs meeting twice-solo p99 QoS target</x:v>
      </x:c>
      <x:c r="D6" s="10" t="str">
        <x:v>30</x:v>
      </x:c>
      <x:c r="E6" s="10" t="str">
        <x:v>tested pairs</x:v>
      </x:c>
      <x:c r="F6" s="10" t="str">
        <x:v>MPS Non-ArkGPU</x:v>
      </x:c>
      <x:c r="G6" s="10" t="str">
        <x:v>Machine with four V100s; Xeon Platinum8163; CentOS7.9.2009; driver460.106.00; CUDA11.1; cuDNN7.6.5.</x:v>
      </x:c>
      <x:c r="H6" s="10" t="str">
        <x:v>Five inference models paired with six training models</x:v>
      </x:c>
      <x:c r="I6" s="10" t="str">
        <x:v>Count of tested pairs, not a universal guarantee</x:v>
      </x:c>
      <x:c r="J6" s="10" t="str">
        <x:v>PDF p11 / printed p314; section5.2; Figure14 on PDFp12</x:v>
      </x:c>
      <x:c r="K6" s="10" t="str">
        <x:v>https://doi.org/10.1007/s42514-023-00154-y</x:v>
      </x:c>
      <x:c r="L6" s="10" t="str">
        <x:v>Pairs meeting twice-solo p99 QoS target</x:v>
      </x:c>
      <x:c r="M6" s="10" t="str">
        <x:v>Published pp. 313-319; Section 5.2</x:v>
      </x:c>
      <x:c r="N6" s="10" t="str">
        <x:v>Value and context checked</x:v>
      </x:c>
      <x:c r="O6" s="10" t="str">
        <x:v>Text confirms all30 tested pairs meet twice-solo P99 target; not a universal guarantee. Four-GPU app-mix goodput is separate.</x:v>
      </x:c>
      <x:c r="P6" s="10" t="str">
        <x:v>AI assistant preparing Rameen assignment at Raazia request</x:v>
      </x:c>
      <x:c r="Q6" s="10" t="d">
        <x:v>2026-10-22T09:45:36.755Z</x:v>
      </x:c>
      <x:c r="R6" s="10" t="str"/>
    </x:row>
    <x:row r="7" ht="90" customHeight="1">
      <x:c r="A7" s="10" t="str">
        <x:v>E049</x:v>
      </x:c>
      <x:c r="B7" s="10" t="str">
        <x:v>P019</x:v>
      </x:c>
      <x:c r="C7" s="10" t="str">
        <x:v>Low-contention QPS loss</x:v>
      </x:c>
      <x:c r="D7" s="10" t="str">
        <x:v>about 5</x:v>
      </x:c>
      <x:c r="E7" s="10" t="str">
        <x:v>percent</x:v>
      </x:c>
      <x:c r="F7" s="10" t="str">
        <x:v>Unthrottled co-location</x:v>
      </x:c>
      <x:c r="G7" s="10" t="str">
        <x:v>Machine with four V100s; Xeon Platinum8163; CentOS7.9.2009; driver460.106.00; CUDA11.1; cuDNN7.6.5.</x:v>
      </x:c>
      <x:c r="H7" s="10" t="str">
        <x:v>Low-contention tested pair settings</x:v>
      </x:c>
      <x:c r="I7" s="10" t="str">
        <x:v>Regression retained; larger system-level goodput gains are not one-GPU results</x:v>
      </x:c>
      <x:c r="J7" s="10" t="str">
        <x:v>PDF p12 / printed p315; section5.2; Figure16 on PDFp13</x:v>
      </x:c>
      <x:c r="K7" s="10" t="str">
        <x:v>https://doi.org/10.1007/s42514-023-00154-y</x:v>
      </x:c>
      <x:c r="L7" s="10" t="str">
        <x:v>Low-contention QPS loss</x:v>
      </x:c>
      <x:c r="M7" s="10" t="str">
        <x:v>Section 5.2 source assessment</x:v>
      </x:c>
      <x:c r="N7" s="10" t="str">
        <x:v>Value and context checked</x:v>
      </x:c>
      <x:c r="O7" s="10" t="str">
        <x:v>Text reports about5% QPS loss in low-contention cases versus MPS; adverse outcome retained.</x:v>
      </x:c>
      <x:c r="P7" s="10" t="str">
        <x:v>AI assistant preparing Rameen assignment at Raazia request</x:v>
      </x:c>
      <x:c r="Q7" s="10" t="d">
        <x:v>2026-10-22T09:45:36.755Z</x:v>
      </x:c>
      <x:c r="R7" s="10" t="str"/>
    </x:row>
    <x:row r="8" ht="90" customHeight="1">
      <x:c r="A8" s="10" t="str">
        <x:v>E050</x:v>
      </x:c>
      <x:c r="B8" s="10" t="str">
        <x:v>P020</x:v>
      </x:c>
      <x:c r="C8" s="10" t="str">
        <x:v>Effect of 15 percent prediction perturbation</x:v>
      </x:c>
      <x:c r="D8" s="10" t="str">
        <x:v>8.09</x:v>
      </x:c>
      <x:c r="E8" s="10" t="str">
        <x:v>percent makespan increase</x:v>
      </x:c>
      <x:c r="F8" s="10" t="str">
        <x:v>Unperturbed predictor</x:v>
      </x:c>
      <x:c r="G8" s="10" t="str">
        <x:v>Two A30s,24GB each; CUDA12.2; driver535.171.04; DCGM3.1.3. Local sections4.2/4.3.1 use one A30. StaCon profiles2g.12gb+1g.6gb+1g.6gb.</x:v>
      </x:c>
      <x:c r="H8" s="10" t="str">
        <x:v>Reported prediction sensitivity</x:v>
      </x:c>
      <x:c r="I8" s="10" t="str">
        <x:v>Sensitivity result; local JCT and cluster simulation are separate</x:v>
      </x:c>
      <x:c r="J8" s="10" t="str">
        <x:v>PDF pp13-14; section4.2; Figure12 on PDFp16</x:v>
      </x:c>
      <x:c r="K8" s="10" t="str">
        <x:v>https://doi.org/10.1007/s10586-025-05284-2</x:v>
      </x:c>
      <x:c r="L8" s="10" t="str">
        <x:v>Effect of 15 percent prediction perturbation</x:v>
      </x:c>
      <x:c r="M8" s="10" t="str">
        <x:v>PDF pp. 11-16; Section 4.3.2</x:v>
      </x:c>
      <x:c r="N8" s="10" t="str">
        <x:v>Value and context checked</x:v>
      </x:c>
      <x:c r="O8" s="10" t="str">
        <x:v>15% prediction error gives8.09% longer makespan and two extra reconfigurations. This belongs to section4.2, not the section4.3.2 cluster simulation; job/makespan outcome, not request-tail latency.</x:v>
      </x:c>
      <x:c r="P8" s="10" t="str">
        <x:v>AI assistant preparing Rameen assignment at Raazia request</x:v>
      </x:c>
      <x:c r="Q8" s="10" t="d">
        <x:v>2026-10-22T09:45:36.755Z</x:v>
      </x:c>
      <x:c r="R8" s="10" t="str"/>
    </x:row>
    <x:row r="9" ht="90" customHeight="1">
      <x:c r="A9" s="10" t="str">
        <x:v>E051</x:v>
      </x:c>
      <x:c r="B9" s="10" t="str">
        <x:v>P021</x:v>
      </x:c>
      <x:c r="C9" s="10" t="str">
        <x:v>Evaluated latency statistic</x:v>
      </x:c>
      <x:c r="D9" s="10" t="str">
        <x:v>95</x:v>
      </x:c>
      <x:c r="E9" s="10" t="str">
        <x:v>percentile</x:v>
      </x:c>
      <x:c r="F9" s="10" t="str">
        <x:v>AMD unrestricted concurrency labelled MPSDefault</x:v>
      </x:c>
      <x:c r="G9" s="10" t="str">
        <x:v>One MI50/60CUs; dualEPYC7302/512GB; Ubuntu18.04; kernel5.4; ROCm4.5</x:v>
      </x:c>
      <x:c r="H9" s="10" t="str">
        <x:v>Inference workers and heterogeneous pairs</x:v>
      </x:c>
      <x:c r="I9" s="10" t="str">
        <x:v>Statistic definition, not a 95-percent latency improvement</x:v>
      </x:c>
      <x:c r="J9" s="10" t="str">
        <x:v>Author PDF pp9-11; sectionVI; TableIII and Figure13b</x:v>
      </x:c>
      <x:c r="K9" s="10" t="str">
        <x:v>https://danielwong.org/files/KRISP-HPCA2023.pdf</x:v>
      </x:c>
      <x:c r="L9" s="10" t="str">
        <x:v>Evaluated latency statistic</x:v>
      </x:c>
      <x:c r="M9" s="10" t="str">
        <x:v>PDF pp. 9-10; Sections V-VI; Table III</x:v>
      </x:c>
      <x:c r="N9" s="10" t="str">
        <x:v>Value and context checked</x:v>
      </x:c>
      <x:c r="O9" s="10" t="str">
        <x:v>95 denotes P95, not effect size. MPS Default is an AMD unrestricted-concurrency analogue. Emulation correction preserves right-sizing/allocation overhead.</x:v>
      </x:c>
      <x:c r="P9" s="10" t="str">
        <x:v>AI assistant preparing Rameen assignment at Raazia request</x:v>
      </x:c>
      <x:c r="Q9" s="10" t="d">
        <x:v>2026-10-22T08:47:26.581Z</x:v>
      </x:c>
      <x:c r="R9" s="10" t="str"/>
    </x:row>
    <x:row r="10" ht="90" customHeight="1">
      <x:c r="A10" s="10" t="str">
        <x:v>E052</x:v>
      </x:c>
      <x:c r="B10" s="10" t="str">
        <x:v>P022</x:v>
      </x:c>
      <x:c r="C10" s="10" t="str">
        <x:v>Normalized total system throughput</x:v>
      </x:c>
      <x:c r="D10" s="10" t="str">
        <x:v>1.19</x:v>
      </x:c>
      <x:c r="E10" s="10" t="str">
        <x:v>ratio</x:v>
      </x:c>
      <x:c r="F10" s="10" t="str">
        <x:v>TGS: 1.65</x:v>
      </x:c>
      <x:c r="G10" s="10" t="str">
        <x:v>Shared A100 SXM 40GB; eight-GPU EC2 p4d host inventory is not an eight-GPU outcome; Ubuntu20.04/CUDA12.2/PyTorch2.2.0/ONNX Runtime GPU1.17.0/Hidet0.3.0</x:v>
      </x:c>
      <x:c r="H10" s="10" t="str">
        <x:v>Ten percent idle-time setting</x:v>
      </x:c>
      <x:c r="I10" s="10" t="str">
        <x:v>Sum of normalized throughput of all concurrent workloads: Tally1.19 versus TGS1.65 at10% idle time. Not background throughput alone.</x:v>
      </x:c>
      <x:c r="J10" s="10" t="str">
        <x:v>arXiv v3 PDF p10; section5.3; Figure6a on p11</x:v>
      </x:c>
      <x:c r="K10" s="10" t="str">
        <x:v>https://arxiv.org/pdf/2410.07381v3</x:v>
      </x:c>
      <x:c r="L10" s="10" t="str">
        <x:v>Normalized background throughput</x:v>
      </x:c>
      <x:c r="M10" s="10" t="str">
        <x:v>PDF pp. 9-11; Sections 5-5.3; Figure 6</x:v>
      </x:c>
      <x:c r="N10" s="10" t="str">
        <x:v>Value and context checked</x:v>
      </x:c>
      <x:c r="O10" s="10" t="str">
        <x:v>Values verified in v3; metric label corrected and version pinned.</x:v>
      </x:c>
      <x:c r="P10" s="10" t="str">
        <x:v>AI assistant preparing Rameen assignment at Raazia request</x:v>
      </x:c>
      <x:c r="Q10" s="10" t="d">
        <x:v>2026-10-22T08:47:26.581Z</x:v>
      </x:c>
      <x:c r="R10" s="10" t="str"/>
    </x:row>
  </x:sheetData>
  <x:pageMargins left="0.7" right="0.7" top="0.75" bottom="0.75" header="0.3" footer="0.3"/>
  <x:tableParts count="1">
    <x:tablePart xmlns:r="http://schemas.openxmlformats.org/officeDocument/2006/relationships" r:id="Rc4e2a57bb48245b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6" hidden="0" customWidth="1"/>
    <x:col min="4" max="4" width="70" hidden="0" customWidth="1"/>
    <x:col min="5" max="5" width="100" hidden="0" customWidth="1"/>
    <x:col min="6" max="6" width="90" hidden="0" customWidth="1"/>
  </x:cols>
  <x:sheetData>
    <x:row r="1" ht="42" customHeight="1">
      <x:c r="A1" s="13" t="str">
        <x:v>Change ID</x:v>
      </x:c>
      <x:c r="B1" s="13" t="str">
        <x:v>Scope</x:v>
      </x:c>
      <x:c r="C1" s="13" t="str">
        <x:v>Field</x:v>
      </x:c>
      <x:c r="D1" s="13" t="str">
        <x:v>Original</x:v>
      </x:c>
      <x:c r="E1" s="13" t="str">
        <x:v>Proposed treatment</x:v>
      </x:c>
      <x:c r="F1" s="13" t="str">
        <x:v>Evidence</x:v>
      </x:c>
    </x:row>
    <x:row r="2" ht="90" customHeight="1">
      <x:c r="A2" s="10" t="str">
        <x:v>RM01</x:v>
      </x:c>
      <x:c r="B2" s="10" t="str">
        <x:v>P015</x:v>
      </x:c>
      <x:c r="C2" s="10" t="str">
        <x:v>Source anchor</x:v>
      </x:c>
      <x:c r="D2" s="10" t="str">
        <x:v>section7.4 case3</x:v>
      </x:c>
      <x:c r="E2" s="10" t="str">
        <x:v>section8 case3; PDFp14/printedp683</x:v>
      </x:c>
      <x:c r="F2" s="10" t="str">
        <x:v>Printed source heading</x:v>
      </x:c>
    </x:row>
    <x:row r="3" ht="90" customHeight="1">
      <x:c r="A3" s="10" t="str">
        <x:v>RM02</x:v>
      </x:c>
      <x:c r="B3" s="10" t="str">
        <x:v>P015 Q9</x:v>
      </x:c>
      <x:c r="C3" s="10" t="str">
        <x:v>Applicability and score</x:v>
      </x:c>
      <x:c r="D3" s="10" t="str">
        <x:v>NA/0</x:v>
      </x:c>
      <x:c r="E3" s="10" t="str">
        <x:v>Proposed2/2; compute/performance control is claimed and tested</x:v>
      </x:c>
      <x:c r="F3" s="10" t="str">
        <x:v>PDFpp14-15; Figure15a; section9. Submitted Q9 is not restricted to security/fault guarantees.</x:v>
      </x:c>
    </x:row>
    <x:row r="4" ht="90" customHeight="1">
      <x:c r="A4" s="10" t="str">
        <x:v>RM03</x:v>
      </x:c>
      <x:c r="B4" s="10" t="str">
        <x:v>P021 Q9</x:v>
      </x:c>
      <x:c r="C4" s="10" t="str">
        <x:v>QA score</x:v>
      </x:c>
      <x:c r="D4" s="10" t="str">
        <x:v>1/2 because no security/fault test</x:v>
      </x:c>
      <x:c r="E4" s="10" t="str">
        <x:v>Proposed2/2 for delimited compute-resource boundary</x:v>
      </x:c>
      <x:c r="F4" s="10" t="str">
        <x:v>PDFpp10-12; KRISP-I/O; Figures13,16. No stronger security claim inferred.</x:v>
      </x:c>
    </x:row>
    <x:row r="5" ht="90" customHeight="1">
      <x:c r="A5" s="10" t="str">
        <x:v>RM04</x:v>
      </x:c>
      <x:c r="B5" s="10" t="str">
        <x:v>P021 Q10</x:v>
      </x:c>
      <x:c r="C5" s="10" t="str">
        <x:v>QA score</x:v>
      </x:c>
      <x:c r="D5" s="10" t="str">
        <x:v>1/2 because emulation limits deployability</x:v>
      </x:c>
      <x:c r="E5" s="10" t="str">
        <x:v>Proposed2/2 for transparent replication and limitation details</x:v>
      </x:c>
      <x:c r="F5" s="10" t="str">
        <x:v>PDFpp7-9; emulation calibration and formula. Emulation alone is not a failure of reporting.</x:v>
      </x:c>
    </x:row>
    <x:row r="6" ht="90" customHeight="1">
      <x:c r="A6" s="10" t="str">
        <x:v>RM05</x:v>
      </x:c>
      <x:c r="B6" s="10" t="str">
        <x:v>P022</x:v>
      </x:c>
      <x:c r="C6" s="10" t="str">
        <x:v>Source version</x:v>
      </x:c>
      <x:c r="D6" s="10" t="str">
        <x:v>Unpinned arXiv URL</x:v>
      </x:c>
      <x:c r="E6" s="10" t="str">
        <x:v>Pin arXiv2410.07381v3; 17pages; DOI-matched ASPLOS manuscript</x:v>
      </x:c>
      <x:c r="F6" s="10" t="str">
        <x:v>v3PDFp1 and arXiv version history</x:v>
      </x:c>
    </x:row>
    <x:row r="7" ht="90" customHeight="1">
      <x:c r="A7" s="10" t="str">
        <x:v>RM06</x:v>
      </x:c>
      <x:c r="B7" s="10" t="str">
        <x:v>P022 E052</x:v>
      </x:c>
      <x:c r="C7" s="10" t="str">
        <x:v>Metric</x:v>
      </x:c>
      <x:c r="D7" s="10" t="str">
        <x:v>Normalized background throughput</x:v>
      </x:c>
      <x:c r="E7" s="10" t="str">
        <x:v>Normalized total system throughput</x:v>
      </x:c>
      <x:c r="F7" s="10" t="str">
        <x:v>v3PDFpp9-10; sections5.1,5.3</x:v>
      </x:c>
    </x:row>
    <x:row r="8" ht="90" customHeight="1">
      <x:c r="A8" s="10" t="str">
        <x:v>RM07</x:v>
      </x:c>
      <x:c r="B8" s="10" t="str">
        <x:v>P022 Q5</x:v>
      </x:c>
      <x:c r="C8" s="10" t="str">
        <x:v>QA score</x:v>
      </x:c>
      <x:c r="D8" s="10" t="str">
        <x:v>1/2 due policy throughput trade-off</x:v>
      </x:c>
      <x:c r="E8" s="10" t="str">
        <x:v>Proposed2/2; stated policies and common conditions support interpretable comparison</x:v>
      </x:c>
      <x:c r="F8" s="10" t="str">
        <x:v>v3PDFpp9-11. Different policy objectives alone do not invalidate a benchmark comparison.</x:v>
      </x:c>
    </x:row>
    <x:row r="9" ht="90" customHeight="1">
      <x:c r="A9" s="10" t="str">
        <x:v>RM08</x:v>
      </x:c>
      <x:c r="B9" s="10" t="str">
        <x:v>P022 Q9</x:v>
      </x:c>
      <x:c r="C9" s="10" t="str">
        <x:v>QA score</x:v>
      </x:c>
      <x:c r="D9" s="10" t="str">
        <x:v>1/2 because no hostile isolation</x:v>
      </x:c>
      <x:c r="E9" s="10" t="str">
        <x:v>Proposed2/2 for directly measured performance isolation</x:v>
      </x:c>
      <x:c r="F9" s="10" t="str">
        <x:v>v3PDFpp9-13; no security/fault equivalence inferred</x:v>
      </x:c>
    </x:row>
    <x:row r="10" ht="90" customHeight="1">
      <x:c r="A10" s="10" t="str">
        <x:v>RM09</x:v>
      </x:c>
      <x:c r="B10" s="10" t="str">
        <x:v>P018 P019 P020</x:v>
      </x:c>
      <x:c r="C10" s="10" t="str">
        <x:v>Fresh validation</x:v>
      </x:c>
      <x:c r="D10" s="10" t="str">
        <x:v>Inherited scores/eligibility/outcomes</x:v>
      </x:c>
      <x:c r="E10" s="10" t="str">
        <x:v>Historical access gap closed:allthreepublisher PDFs now supplied andchecked;original unavailable status retained inhistory.</x:v>
      </x:c>
      <x:c r="F10" s="10" t="str">
        <x:v>uploaded_source_receipt.json;inferfair_receipt.json</x:v>
      </x:c>
    </x:row>
    <x:row r="11" ht="90" customHeight="1">
      <x:c r="A11" s="10" t="str">
        <x:v>RM10</x:v>
      </x:c>
      <x:c r="B11" s="10" t="str">
        <x:v>Novelty</x:v>
      </x:c>
      <x:c r="C11" s="10" t="str">
        <x:v>Contribution wording</x:v>
      </x:c>
      <x:c r="D11" s="10" t="str">
        <x:v>Broad taxonomy/trade-offs could be described as novel</x:v>
      </x:c>
      <x:c r="E11" s="10" t="str">
        <x:v>Position as bounded, source-audited, condition-specific update; no first-review claim</x:v>
      </x:c>
      <x:c r="F11" s="10" t="str">
        <x:v>Yu2022; Huang2025; Ye2024; supplementary search receipt</x:v>
      </x:c>
    </x:row>
    <x:row r="12" ht="90" customHeight="1">
      <x:c r="A12" s="10" t="str">
        <x:v>RM11</x:v>
      </x:c>
      <x:c r="B12" s="10" t="str">
        <x:v>Recommendations REC04-REC06</x:v>
      </x:c>
      <x:c r="C12" s="10" t="str">
        <x:v>Evidence strength</x:v>
      </x:c>
      <x:c r="D12" s="10" t="str">
        <x:v>Missing-reading sources cited without local review distinction</x:v>
      </x:c>
      <x:c r="E12" s="10" t="str">
        <x:v>REC04-REC06 primary-source checks completed;retain experiment-specificconditions andlimits.</x:v>
      </x:c>
      <x:c r="F12" s="10" t="str">
        <x:v>Scope/recommendation audit</x:v>
      </x:c>
    </x:row>
    <x:row r="13" ht="90" customHeight="1">
      <x:c r="A13" s="10" t="str">
        <x:v>RM12</x:v>
      </x:c>
      <x:c r="B13" s="10" t="str">
        <x:v>P022</x:v>
      </x:c>
      <x:c r="C13" s="10" t="str">
        <x:v>Runtime label</x:v>
      </x:c>
      <x:c r="D13" s="10" t="str">
        <x:v>ONNX1.17</x:v>
      </x:c>
      <x:c r="E13" s="10" t="str">
        <x:v>ONNX Runtime GPU1.17.0</x:v>
      </x:c>
      <x:c r="F13" s="10" t="str">
        <x:v>v3PDFp9; section5.1</x:v>
      </x:c>
    </x:row>
    <x:row r="14" ht="90" customHeight="1">
      <x:c r="A14" s="10" t="str">
        <x:v>RM13</x:v>
      </x:c>
      <x:c r="B14" s="10" t="str">
        <x:v>P019 P020</x:v>
      </x:c>
      <x:c r="C14" s="10" t="str">
        <x:v>Access</x:v>
      </x:c>
      <x:c r="D14" s="10" t="str">
        <x:v>Unavailable fresh full text</x:v>
      </x:c>
      <x:c r="E14" s="10" t="str">
        <x:v>Publisher PDFs supplied by user and appraised; P018 remains pending</x:v>
      </x:c>
      <x:c r="F14" s="10" t="str">
        <x:v>PDF title pages; uploaded_source_receipt.json</x:v>
      </x:c>
    </x:row>
    <x:row r="15" ht="90" customHeight="1">
      <x:c r="A15" s="10" t="str">
        <x:v>RM14</x:v>
      </x:c>
      <x:c r="B15" s="10" t="str">
        <x:v>P020 E050</x:v>
      </x:c>
      <x:c r="C15" s="10" t="str">
        <x:v>Source section</x:v>
      </x:c>
      <x:c r="D15" s="10" t="str">
        <x:v>Section4.3.2</x:v>
      </x:c>
      <x:c r="E15" s="10" t="str">
        <x:v>Section4.2; PDFpp13-14; Figure12 onp16</x:v>
      </x:c>
      <x:c r="F15" s="10" t="str">
        <x:v>Exact surrounding heading and paragraph verified</x:v>
      </x:c>
    </x:row>
    <x:row r="16" ht="90" customHeight="1">
      <x:c r="A16" s="10" t="str">
        <x:v>RM15</x:v>
      </x:c>
      <x:c r="B16" s="10" t="str">
        <x:v>P019 E048 E049</x:v>
      </x:c>
      <x:c r="C16" s="10" t="str">
        <x:v>Source anchors</x:v>
      </x:c>
      <x:c r="D16" s="10" t="str">
        <x:v>Broad inherited page ranges</x:v>
      </x:c>
      <x:c r="E16" s="10" t="str">
        <x:v>P99 pair count: PDFp11; QPS loss: PDFp12</x:v>
      </x:c>
      <x:c r="F16" s="10" t="str">
        <x:v>Section5.2 and Figures14/16</x:v>
      </x:c>
    </x:row>
    <x:row r="17" ht="90" customHeight="1">
      <x:c r="A17" s="10" t="str">
        <x:v>RM16</x:v>
      </x:c>
      <x:c r="B17" s="10" t="str">
        <x:v>P018</x:v>
      </x:c>
      <x:c r="C17" s="10" t="str">
        <x:v>Full text and outcomes</x:v>
      </x:c>
      <x:c r="D17" s="10" t="str">
        <x:v>Unavailable fresh source</x:v>
      </x:c>
      <x:c r="E17" s="10" t="str">
        <x:v>Full11page article inspected;E046/E047 values andlocalcontext confirmed</x:v>
      </x:c>
      <x:c r="F17" s="10" t="str">
        <x:v>PDFp9;Table3</x:v>
      </x:c>
    </x:row>
    <x:row r="18" ht="90" customHeight="1">
      <x:c r="A18" s="10" t="str">
        <x:v>RM17</x:v>
      </x:c>
      <x:c r="B18" s="10" t="str">
        <x:v>P018 QA</x:v>
      </x:c>
      <x:c r="C18" s="10" t="str">
        <x:v>Reporting appraisal</x:v>
      </x:c>
      <x:c r="D18" s="10" t="str">
        <x:v>15/20baseline</x:v>
      </x:c>
      <x:c r="E18" s="10" t="str">
        <x:v>17/20current source appraisal:Q4lowered for missingstackversions;Q5/Q7/Q9supported byexplicitcomparators,SLOmethod andfairnessboundary</x:v>
      </x:c>
      <x:c r="F18" s="10" t="str">
        <x:v>QA_Source_Review.csv;submittedrubric</x:v>
      </x:c>
    </x:row>
  </x:sheetData>
  <x:pageMargins left="0.7" right="0.7" top="0.75" bottom="0.75" header="0.3" footer="0.3"/>
  <x:tableParts count="1">
    <x:tablePart xmlns:r="http://schemas.openxmlformats.org/officeDocument/2006/relationships" r:id="R9efd5587d9e649b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80" hidden="0" customWidth="1"/>
    <x:col min="3" max="3" width="75" hidden="0" customWidth="1"/>
    <x:col min="4" max="4" width="12" hidden="0" customWidth="1"/>
    <x:col min="5" max="5" width="35" hidden="0" customWidth="1"/>
    <x:col min="6" max="6" width="90" hidden="0" customWidth="1"/>
    <x:col min="7" max="7" width="95" hidden="0" customWidth="1"/>
    <x:col min="8" max="8" width="75" hidden="0" customWidth="1"/>
    <x:col min="9" max="9" width="95" hidden="0" customWidth="1"/>
    <x:col min="10" max="10" width="110" hidden="0" customWidth="1"/>
    <x:col min="11" max="11" width="75" hidden="0" customWidth="1"/>
  </x:cols>
  <x:sheetData>
    <x:row r="1" ht="42" customHeight="1">
      <x:c r="A1" s="13" t="str">
        <x:v>ID</x:v>
      </x:c>
      <x:c r="B1" s="13" t="str">
        <x:v>Title</x:v>
      </x:c>
      <x:c r="C1" s="13" t="str">
        <x:v>Authors</x:v>
      </x:c>
      <x:c r="D1" s="13" t="str">
        <x:v>Year</x:v>
      </x:c>
      <x:c r="E1" s="13" t="str">
        <x:v>Identifier</x:v>
      </x:c>
      <x:c r="F1" s="13" t="str">
        <x:v>Access</x:v>
      </x:c>
      <x:c r="G1" s="13" t="str">
        <x:v>Scope</x:v>
      </x:c>
      <x:c r="H1" s="13" t="str">
        <x:v>Anchor</x:v>
      </x:c>
      <x:c r="I1" s="13" t="str">
        <x:v>Overlap</x:v>
      </x:c>
      <x:c r="J1" s="13" t="str">
        <x:v>Implication</x:v>
      </x:c>
      <x:c r="K1" s="13" t="str">
        <x:v>URL</x:v>
      </x:c>
    </x:row>
    <x:row r="2" ht="90" customHeight="1">
      <x:c r="A2" s="10" t="str">
        <x:v>RV01</x:v>
      </x:c>
      <x:c r="B2" s="10" t="str">
        <x:v>A Survey of Multi-Tenant Deep Learning Inference on GPU</x:v>
      </x:c>
      <x:c r="C2" s="10" t="str">
        <x:v>Fuxun Yu; Di Wang; Longfei Shangguan; Minjia Zhang; Chenchen Liu; Xiang Chen</x:v>
      </x:c>
      <x:c r="D2" s="10" t="n">
        <x:v>2022</x:v>
      </x:c>
      <x:c r="E2" s="10" t="str">
        <x:v>arXiv:2203.09040</x:v>
      </x:c>
      <x:c r="F2" s="10" t="str">
        <x:v>Full text inspected, 8 pages; contextual survey</x:v>
      </x:c>
      <x:c r="G2" s="10" t="str">
        <x:v>Full-stack multi-tenant DL inference, GPU streams/MPS/MIG and software/hardware scheduling.</x:v>
      </x:c>
      <x:c r="H2" s="10" t="str">
        <x:v>PDFpp1-3; sectionsI-II; pp5-7 sectionsIII-IV</x:v>
      </x:c>
      <x:c r="I2" s="10" t="str">
        <x:v>High topical overlap; taxonomy and hybrid scheduling are already established discussion topics.</x:v>
      </x:c>
      <x:c r="J2" s="10" t="str">
        <x:v>Differentiate by current source-anchored, single-physical-GPU outcome comparability and conditional recommendations; no first survey claim.</x:v>
      </x:c>
      <x:c r="K2" s="10" t="str">
        <x:v>https://arxiv.org/abs/2203.09040</x:v>
      </x:c>
    </x:row>
    <x:row r="3" ht="90" customHeight="1">
      <x:c r="A3" s="10" t="str">
        <x:v>RV02</x:v>
      </x:c>
      <x:c r="B3" s="10" t="str">
        <x:v>On Efficiency, Fairness and Security in AI Accelerator Resource Sharing: A Survey</x:v>
      </x:c>
      <x:c r="C3" s="10" t="str">
        <x:v>Jiahua Huang; Weiwei Lin; Wentai Wu; Yang Wang; Haocheng Zhong; Xinhua Wang; Keqin Li</x:v>
      </x:c>
      <x:c r="D3" s="10" t="n">
        <x:v>2025</x:v>
      </x:c>
      <x:c r="E3" s="10" t="str">
        <x:v>10.1145/3721427</x:v>
      </x:c>
      <x:c r="F3" s="10" t="str">
        <x:v>Full text inspected, 35 pages; ACM Computing Surveys57(9),Article221</x:v>
      </x:c>
      <x:c r="G3" s="10" t="str">
        <x:v>2016-2024 sharing research across GPUs and other AI accelerators; efficiency, fairness, interference and security.</x:v>
      </x:c>
      <x:c r="H3" s="10" t="str">
        <x:v>PDFpp1-4; abstract; sections1.1-1.3; taxonomy and later discussion</x:v>
      </x:c>
      <x:c r="I3" s="10" t="str">
        <x:v>Strong overlap with performance/isolation trade-offs; these themes are not novel in themselves.</x:v>
      </x:c>
      <x:c r="J3" s="10" t="str">
        <x:v>Use as direct comparator and cite prior coverage. Narrower single-GPU inference audit and 2025 studies may add value; exhaustive novelty remains unproven.</x:v>
      </x:c>
      <x:c r="K3" s="10" t="str">
        <x:v>https://doi.org/10.1145/3721427</x:v>
      </x:c>
    </x:row>
    <x:row r="4" ht="90" customHeight="1">
      <x:c r="A4" s="10" t="str">
        <x:v>RV03</x:v>
      </x:c>
      <x:c r="B4" s="10" t="str">
        <x:v>Deep Learning Workload Scheduling in GPU Datacenters: A Survey</x:v>
      </x:c>
      <x:c r="C4" s="10" t="str">
        <x:v>Zhisheng Ye; Wei Gao; Qinghao Hu; Peng Sun; Xiaolin Wang; Yingwei Luo; Tianwei Zhang; Yonggang Wen</x:v>
      </x:c>
      <x:c r="D4" s="10" t="n">
        <x:v>2024</x:v>
      </x:c>
      <x:c r="E4" s="10" t="str">
        <x:v>10.1145/3638757</x:v>
      </x:c>
      <x:c r="F4" s="10" t="str">
        <x:v>Author-hosted40-page text inspected through public retrieval; DOI/title matched. Final publisher pagination not verified.</x:v>
      </x:c>
      <x:c r="G4" s="10" t="str">
        <x:v>Training and inference across GPU datacenters; Section4inference objectives/resource utilization; Section5.2hybrid training/inference.</x:v>
      </x:c>
      <x:c r="H4" s="10" t="str">
        <x:v>Author copy pp1-3; Figure1; Sections4,5.2; placeholder2023citation on copy is not final publisher metadata.</x:v>
      </x:c>
      <x:c r="I4" s="10" t="str">
        <x:v>Broad objectives and co-location overlap; author copy explicitly discusses prior Yu2022single-GPU multi-tenant survey.</x:v>
      </x:c>
      <x:c r="J4" s="10" t="str">
        <x:v>Taxonomy and efficiency/latency objectives are established. Frame contribution as bounded source-level comparability and conditional decision audit; do not claim first coverage.</x:v>
      </x:c>
      <x:c r="K4" s="10" t="str">
        <x:v>https://yezhisheng.me/publication/survey/survey.pdf</x:v>
      </x:c>
    </x:row>
    <x:row r="5" ht="90" customHeight="1">
      <x:c r="A5" s="10" t="str">
        <x:v>RV04</x:v>
      </x:c>
      <x:c r="B5" s="10" t="str">
        <x:v>A comprehensive review of GPU virtualization and sharing methods</x:v>
      </x:c>
      <x:c r="C5" s="10" t="str">
        <x:v>Petr Mandrik</x:v>
      </x:c>
      <x:c r="D5" s="10" t="n">
        <x:v>2025</x:v>
      </x:c>
      <x:c r="E5" s="10" t="str">
        <x:v>HAL:hal-05429292v1</x:v>
      </x:c>
      <x:c r="F5" s="10" t="str">
        <x:v>Repository-index lead dated22December2025; January2026 author-upload date also surfaced; direct repository access blocked</x:v>
      </x:c>
      <x:c r="G5" s="10" t="str">
        <x:v>GPU virtualization/sharing in VMs and containers; remoting, scheduling and related capabilities (indexed abstract only).</x:v>
      </x:c>
      <x:c r="H5" s="10" t="str">
        <x:v>Repository-index metadata; full text not inspected</x:v>
      </x:c>
      <x:c r="I5" s="10" t="str">
        <x:v>Potentially high mechanism overlap, including API mediation.</x:v>
      </x:c>
      <x:c r="J5" s="10" t="str">
        <x:v>Treat as an unresolved recent technical-report comparator, not a peer-reviewed primary study or a verified novel-scope exclusion.</x:v>
      </x:c>
      <x:c r="K5" s="10" t="str">
        <x:v>https://hal.science/hal-05429292v1</x:v>
      </x:c>
    </x:row>
  </x:sheetData>
  <x:pageMargins left="0.7" right="0.7" top="0.75" bottom="0.75" header="0.3" footer="0.3"/>
  <x:tableParts count="1">
    <x:tablePart xmlns:r="http://schemas.openxmlformats.org/officeDocument/2006/relationships" r:id="R8e0297d8782b45f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36" hidden="0" customWidth="1"/>
    <x:col min="3" max="3" width="100" hidden="0" customWidth="1"/>
    <x:col min="4" max="4" width="16" hidden="0" customWidth="1"/>
    <x:col min="5" max="5" width="30" hidden="0" customWidth="1"/>
    <x:col min="6" max="6" width="30" hidden="0" customWidth="1"/>
    <x:col min="7" max="7" width="105" hidden="0" customWidth="1"/>
    <x:col min="8" max="8" width="95" hidden="0" customWidth="1"/>
  </x:cols>
  <x:sheetData>
    <x:row r="1" ht="42" customHeight="1">
      <x:c r="A1" s="13" t="str">
        <x:v>Query ID</x:v>
      </x:c>
      <x:c r="B1" s="13" t="str">
        <x:v>Source</x:v>
      </x:c>
      <x:c r="C1" s="13" t="str">
        <x:v>Query</x:v>
      </x:c>
      <x:c r="D1" s="13" t="str">
        <x:v>Recency days</x:v>
      </x:c>
      <x:c r="E1" s="13" t="str">
        <x:v>Started UTC</x:v>
      </x:c>
      <x:c r="F1" s="13" t="str">
        <x:v>Completed UTC</x:v>
      </x:c>
      <x:c r="G1" s="13" t="str">
        <x:v>Purpose</x:v>
      </x:c>
      <x:c r="H1" s="13" t="str">
        <x:v>Coverage</x:v>
      </x:c>
    </x:row>
    <x:row r="2" ht="90" customHeight="1">
      <x:c r="A2" s="10" t="str">
        <x:v>NS01</x:v>
      </x:c>
      <x:c r="B2" s="10" t="str">
        <x:v>Web search service, system1</x:v>
      </x:c>
      <x:c r="C2" s="10" t="str">
        <x:v>"GPU sharing" survey review inference 2024 2025 2026</x:v>
      </x:c>
      <x:c r="D2" s="10" t="n">
        <x:v>1095</x:v>
      </x:c>
      <x:c r="E2" s="10" t="d">
        <x:v>2026-10-22T08:43:48.386Z</x:v>
      </x:c>
      <x:c r="F2" s="10" t="d">
        <x:v>2026-10-22T08:43:53.356Z</x:v>
      </x:c>
      <x:c r="G2" s="10" t="str">
        <x:v>Supplementary recent-survey overlap and author-copy discovery; not a formal database rerun</x:v>
      </x:c>
      <x:c r="H2" s="10" t="str">
        <x:v>Supplementary search; no displayed total captured; no PRISMA identification change</x:v>
      </x:c>
    </x:row>
    <x:row r="3" ht="90" customHeight="1">
      <x:c r="A3" s="10" t="str">
        <x:v>NS02</x:v>
      </x:c>
      <x:c r="B3" s="10" t="str">
        <x:v>Web search service, system1</x:v>
      </x:c>
      <x:c r="C3" s="10" t="str">
        <x:v>"On Efficiency, Fairness and Security in AI Accelerator Resource Sharing" survey</x:v>
      </x:c>
      <x:c r="D3" s="10"/>
      <x:c r="E3" s="10" t="d">
        <x:v>2026-10-22T08:43:48.386Z</x:v>
      </x:c>
      <x:c r="F3" s="10" t="d">
        <x:v>2026-10-22T08:43:53.356Z</x:v>
      </x:c>
      <x:c r="G3" s="10" t="str">
        <x:v>Supplementary recent-survey overlap and author-copy discovery; not a formal database rerun</x:v>
      </x:c>
      <x:c r="H3" s="10" t="str">
        <x:v>Supplementary search; no displayed total captured; no PRISMA identification change</x:v>
      </x:c>
    </x:row>
    <x:row r="4" ht="90" customHeight="1">
      <x:c r="A4" s="10" t="str">
        <x:v>NS03</x:v>
      </x:c>
      <x:c r="B4" s="10" t="str">
        <x:v>Web search service, system1</x:v>
      </x:c>
      <x:c r="C4" s="10" t="str">
        <x:v>"Deep Learning Workload Scheduling in GPU Datacenters" survey</x:v>
      </x:c>
      <x:c r="D4" s="10"/>
      <x:c r="E4" s="10" t="d">
        <x:v>2026-10-22T08:43:48.386Z</x:v>
      </x:c>
      <x:c r="F4" s="10" t="d">
        <x:v>2026-10-22T08:43:53.356Z</x:v>
      </x:c>
      <x:c r="G4" s="10" t="str">
        <x:v>Supplementary recent-survey overlap and author-copy discovery; not a formal database rerun</x:v>
      </x:c>
      <x:c r="H4" s="10" t="str">
        <x:v>Supplementary search; no displayed total captured; no PRISMA identification change</x:v>
      </x:c>
    </x:row>
    <x:row r="5" ht="90" customHeight="1">
      <x:c r="A5" s="10" t="str">
        <x:v>NS04</x:v>
      </x:c>
      <x:c r="B5" s="10" t="str">
        <x:v>Web search service, system1</x:v>
      </x:c>
      <x:c r="C5" s="10" t="str">
        <x:v>"A comprehensive review of GPU virtualization and sharing methods"</x:v>
      </x:c>
      <x:c r="D5" s="10"/>
      <x:c r="E5" s="10" t="d">
        <x:v>2026-10-22T08:43:48.386Z</x:v>
      </x:c>
      <x:c r="F5" s="10" t="d">
        <x:v>2026-10-22T08:43:53.356Z</x:v>
      </x:c>
      <x:c r="G5" s="10" t="str">
        <x:v>Supplementary recent-survey overlap and author-copy discovery; not a formal database rerun</x:v>
      </x:c>
      <x:c r="H5" s="10" t="str">
        <x:v>Supplementary search; no displayed total captured; no PRISMA identification change</x:v>
      </x:c>
    </x:row>
  </x:sheetData>
  <x:pageMargins left="0.7" right="0.7" top="0.75" bottom="0.75" header="0.3" footer="0.3"/>
  <x:tableParts count="1">
    <x:tablePart xmlns:r="http://schemas.openxmlformats.org/officeDocument/2006/relationships" r:id="R49e7f2d971624e6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8" hidden="0" customWidth="1"/>
    <x:col min="4" max="4" width="100" hidden="0" customWidth="1"/>
    <x:col min="5" max="5" width="105" hidden="0" customWidth="1"/>
    <x:col min="6" max="6" width="28" hidden="0" customWidth="1"/>
    <x:col min="7" max="7" width="30" hidden="0" customWidth="1"/>
    <x:col min="8" max="8" width="30" hidden="0" customWidth="1"/>
    <x:col min="9" max="9" width="70" hidden="0" customWidth="1"/>
  </x:cols>
  <x:sheetData>
    <x:row r="1" ht="42" customHeight="1">
      <x:c r="A1" s="13" t="str">
        <x:v>Report ID</x:v>
      </x:c>
      <x:c r="B1" s="13" t="str">
        <x:v>Assigned first reviewer</x:v>
      </x:c>
      <x:c r="C1" s="13" t="str">
        <x:v>Assigned independent reviewer</x:v>
      </x:c>
      <x:c r="D1" s="13" t="str">
        <x:v>Status</x:v>
      </x:c>
      <x:c r="E1" s="13" t="str">
        <x:v>Required items</x:v>
      </x:c>
      <x:c r="F1" s="13" t="str">
        <x:v>Actual reviewer</x:v>
      </x:c>
      <x:c r="G1" s="13" t="str">
        <x:v>Checked UTC</x:v>
      </x:c>
      <x:c r="H1" s="13" t="str">
        <x:v>Decision</x:v>
      </x:c>
      <x:c r="I1" s="13" t="str">
        <x:v>Disagreement resolution</x:v>
      </x:c>
    </x:row>
    <x:row r="2" ht="90" customHeight="1">
      <x:c r="A2" s="10" t="str">
        <x:v>P001</x:v>
      </x:c>
      <x:c r="B2" s="10" t="str">
        <x:v>Eshaal</x:v>
      </x:c>
      <x:c r="C2" s="10" t="str">
        <x:v>Rameen</x:v>
      </x:c>
      <x:c r="D2" s="10" t="str">
        <x:v>Awaiting Eshaal first-review return and actual independent human check</x:v>
      </x:c>
      <x:c r="E2" s="10" t="str">
        <x:v>Identity/version, IC1-IC6, all linked QA/outcomes; P023 linked to S005, not a new study</x:v>
      </x:c>
      <x:c r="F2" s="10" t="str"/>
      <x:c r="G2" s="10" t="str"/>
      <x:c r="H2" s="10" t="str"/>
      <x:c r="I2" s="10" t="str"/>
    </x:row>
    <x:row r="3" ht="90" customHeight="1">
      <x:c r="A3" s="10" t="str">
        <x:v>P002</x:v>
      </x:c>
      <x:c r="B3" s="10" t="str">
        <x:v>Eshaal</x:v>
      </x:c>
      <x:c r="C3" s="10" t="str">
        <x:v>Rameen</x:v>
      </x:c>
      <x:c r="D3" s="10" t="str">
        <x:v>Awaiting Eshaal first-review return and actual independent human check</x:v>
      </x:c>
      <x:c r="E3" s="10" t="str">
        <x:v>Identity/version, IC1-IC6, all linked QA/outcomes; P023 linked to S005, not a new study</x:v>
      </x:c>
      <x:c r="F3" s="10" t="str"/>
      <x:c r="G3" s="10" t="str"/>
      <x:c r="H3" s="10" t="str"/>
      <x:c r="I3" s="10" t="str"/>
    </x:row>
    <x:row r="4" ht="90" customHeight="1">
      <x:c r="A4" s="10" t="str">
        <x:v>P003</x:v>
      </x:c>
      <x:c r="B4" s="10" t="str">
        <x:v>Eshaal</x:v>
      </x:c>
      <x:c r="C4" s="10" t="str">
        <x:v>Rameen</x:v>
      </x:c>
      <x:c r="D4" s="10" t="str">
        <x:v>Awaiting Eshaal first-review return and actual independent human check</x:v>
      </x:c>
      <x:c r="E4" s="10" t="str">
        <x:v>Identity/version, IC1-IC6, all linked QA/outcomes; P023 linked to S005, not a new study</x:v>
      </x:c>
      <x:c r="F4" s="10" t="str"/>
      <x:c r="G4" s="10" t="str"/>
      <x:c r="H4" s="10" t="str"/>
      <x:c r="I4" s="10" t="str"/>
    </x:row>
    <x:row r="5" ht="90" customHeight="1">
      <x:c r="A5" s="10" t="str">
        <x:v>P004</x:v>
      </x:c>
      <x:c r="B5" s="10" t="str">
        <x:v>Eshaal</x:v>
      </x:c>
      <x:c r="C5" s="10" t="str">
        <x:v>Rameen</x:v>
      </x:c>
      <x:c r="D5" s="10" t="str">
        <x:v>Awaiting Eshaal first-review return and actual independent human check</x:v>
      </x:c>
      <x:c r="E5" s="10" t="str">
        <x:v>Identity/version, IC1-IC6, all linked QA/outcomes; P023 linked to S005, not a new study</x:v>
      </x:c>
      <x:c r="F5" s="10" t="str"/>
      <x:c r="G5" s="10" t="str"/>
      <x:c r="H5" s="10" t="str"/>
      <x:c r="I5" s="10" t="str"/>
    </x:row>
    <x:row r="6" ht="90" customHeight="1">
      <x:c r="A6" s="10" t="str">
        <x:v>P005</x:v>
      </x:c>
      <x:c r="B6" s="10" t="str">
        <x:v>Eshaal</x:v>
      </x:c>
      <x:c r="C6" s="10" t="str">
        <x:v>Rameen</x:v>
      </x:c>
      <x:c r="D6" s="10" t="str">
        <x:v>Awaiting Eshaal first-review return and actual independent human check</x:v>
      </x:c>
      <x:c r="E6" s="10" t="str">
        <x:v>Identity/version, IC1-IC6, all linked QA/outcomes; P023 linked to S005, not a new study</x:v>
      </x:c>
      <x:c r="F6" s="10" t="str"/>
      <x:c r="G6" s="10" t="str"/>
      <x:c r="H6" s="10" t="str"/>
      <x:c r="I6" s="10" t="str"/>
    </x:row>
    <x:row r="7" ht="90" customHeight="1">
      <x:c r="A7" s="10" t="str">
        <x:v>P006</x:v>
      </x:c>
      <x:c r="B7" s="10" t="str">
        <x:v>Eshaal</x:v>
      </x:c>
      <x:c r="C7" s="10" t="str">
        <x:v>Rameen</x:v>
      </x:c>
      <x:c r="D7" s="10" t="str">
        <x:v>Awaiting Eshaal first-review return and actual independent human check</x:v>
      </x:c>
      <x:c r="E7" s="10" t="str">
        <x:v>Identity/version, IC1-IC6, all linked QA/outcomes; P023 linked to S005, not a new study</x:v>
      </x:c>
      <x:c r="F7" s="10" t="str"/>
      <x:c r="G7" s="10" t="str"/>
      <x:c r="H7" s="10" t="str"/>
      <x:c r="I7" s="10" t="str"/>
    </x:row>
    <x:row r="8" ht="90" customHeight="1">
      <x:c r="A8" s="10" t="str">
        <x:v>P007</x:v>
      </x:c>
      <x:c r="B8" s="10" t="str">
        <x:v>Eshaal</x:v>
      </x:c>
      <x:c r="C8" s="10" t="str">
        <x:v>Rameen</x:v>
      </x:c>
      <x:c r="D8" s="10" t="str">
        <x:v>Awaiting Eshaal first-review return and actual independent human check</x:v>
      </x:c>
      <x:c r="E8" s="10" t="str">
        <x:v>Identity/version, IC1-IC6, all linked QA/outcomes; P023 linked to S005, not a new study</x:v>
      </x:c>
      <x:c r="F8" s="10" t="str"/>
      <x:c r="G8" s="10" t="str"/>
      <x:c r="H8" s="10" t="str"/>
      <x:c r="I8" s="10" t="str"/>
    </x:row>
    <x:row r="9" ht="90" customHeight="1">
      <x:c r="A9" s="10" t="str">
        <x:v>P023</x:v>
      </x:c>
      <x:c r="B9" s="10" t="str">
        <x:v>Eshaal</x:v>
      </x:c>
      <x:c r="C9" s="10" t="str">
        <x:v>Rameen</x:v>
      </x:c>
      <x:c r="D9" s="10" t="str">
        <x:v>Awaiting Eshaal first-review return and actual independent human check</x:v>
      </x:c>
      <x:c r="E9" s="10" t="str">
        <x:v>Identity/version, IC1-IC6, all linked QA/outcomes; P023 linked to S005, not a new study</x:v>
      </x:c>
      <x:c r="F9" s="10" t="str"/>
      <x:c r="G9" s="10" t="str"/>
      <x:c r="H9" s="10" t="str"/>
      <x:c r="I9" s="10" t="str"/>
    </x:row>
  </x:sheetData>
  <x:pageMargins left="0.7" right="0.7" top="0.75" bottom="0.75" header="0.3" footer="0.3"/>
  <x:tableParts count="1">
    <x:tablePart xmlns:r="http://schemas.openxmlformats.org/officeDocument/2006/relationships" r:id="Re1c19390cec14546"/>
  </x:tableParts>
</x:worksheet>
</file>
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SMA_Cou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<sst xmlns="http://schemas.openxmlformats.org/spreadsheetml/2006/main" count="29" uniqueCount="29">
  <si>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PRISMA 2020 item</t>
  </si>
  <si>
    <t xml:space="preserve">n</t>
  </si>
  <si>
    <t xml:space="preserve">How derived</t>
  </si>
  <si>
    <t xml:space="preserve">Check</t>
  </si>
  <si>
    <t xml:space="preserve">Records from ACM</t>
  </si>
  <si>
    <t xml:space="preserve">Screening Log</t>
  </si>
  <si>
    <t xml:space="preserve">Records from IEEE Xplore</t>
  </si>
  <si>
    <t xml:space="preserve">Records from Springer Nature Link</t>
  </si>
  <si>
    <t xml:space="preserve">Records from ScienceDirect</t>
  </si>
  <si>
    <t xml:space="preserve">Records from databases (total)</t>
  </si>
  <si>
    <t xml:space="preserve">Records from other sources (supplementary)</t>
  </si>
  <si>
    <t xml:space="preserve">Records identified (total)</t>
  </si>
  <si>
    <t xml:space="preserve">Duplicate records linked and removed</t>
  </si>
  <si>
    <t xml:space="preserve">ACM 30, IEEE 9, Springer 3, ScienceDirect 67, supplementary 5</t>
  </si>
  <si>
    <t xml:space="preserve">Records screened</t>
  </si>
  <si>
    <t xml:space="preserve">Excluded at screening - EC2</t>
  </si>
  <si>
    <t xml:space="preserve">Excluded at screening - EC1</t>
  </si>
  <si>
    <t xml:space="preserve">Excluded at screening - EC5</t>
  </si>
  <si>
    <t xml:space="preserve">Records excluded at screening (total)</t>
  </si>
  <si>
    <t xml:space="preserve">Records retained after screening</t>
  </si>
  <si>
    <t xml:space="preserve">Retained, not advanced under stopping rule</t>
  </si>
  <si>
    <t xml:space="preserve">Reports not sought</t>
  </si>
  <si>
    <t xml:space="preserve">Reports sought for retrieval</t>
  </si>
  <si>
    <t xml:space="preserve">Reports not retrieved</t>
  </si>
  <si>
    <t xml:space="preserve">Reports assessed for eligibility</t>
  </si>
  <si>
    <t xml:space="preserve">Reports excluded after source assessment (EC2)</t>
  </si>
  <si>
    <t xml:space="preserve">Reports included</t>
  </si>
  <si>
    <t xml:space="preserve">REEF conference and journal companion linked</t>
  </si>
  <si>
    <t xml:space="preserve">Unique studies included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</si>
</sst>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1582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n">
        <v>102</v>
      </c>
    </row>
    <row r="4" customFormat="false" ht="15" hidden="false" customHeight="false" outlineLevel="0" collapsed="false">
      <c r="A4" s="0" t="s">
        <v>7</v>
      </c>
      <c r="B4" s="0" t="n">
        <v>587</v>
      </c>
    </row>
    <row r="5" customFormat="false" ht="15" hidden="false" customHeight="false" outlineLevel="0" collapsed="false">
      <c r="A5" s="0" t="s">
        <v>8</v>
      </c>
      <c r="B5" s="0" t="n">
        <v>1898</v>
      </c>
    </row>
    <row r="6" customFormat="false" ht="15" hidden="false" customHeight="false" outlineLevel="0" collapsed="false">
      <c r="A6" s="0" t="s">
        <v>9</v>
      </c>
      <c r="B6" s="0" t="n">
        <f aca="false">SUM(B2:B5)</f>
        <v>4169</v>
      </c>
      <c r="D6" s="0" t="str">
        <f aca="false">IF(B6=4169,"OK","CHECK")</f>
        <v>OK</v>
      </c>
    </row>
    <row r="7" customFormat="false" ht="15" hidden="false" customHeight="false" outlineLevel="0" collapsed="false">
      <c r="A7" s="0" t="s">
        <v>10</v>
      </c>
      <c r="B7" s="0" t="n">
        <v>20</v>
      </c>
    </row>
    <row r="8" customFormat="false" ht="15" hidden="false" customHeight="false" outlineLevel="0" collapsed="false">
      <c r="A8" s="0" t="s">
        <v>11</v>
      </c>
      <c r="B8" s="0" t="n">
        <f aca="false">B6+B7</f>
        <v>4189</v>
      </c>
      <c r="D8" s="0" t="str">
        <f aca="false">IF(B8=4189,"OK","CHECK")</f>
        <v>OK</v>
      </c>
    </row>
    <row r="9" customFormat="false" ht="15" hidden="false" customHeight="false" outlineLevel="0" collapsed="false">
      <c r="A9" s="0" t="s">
        <v>12</v>
      </c>
      <c r="B9" s="0" t="n">
        <v>114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0" t="n">
        <f aca="false">B8-B9</f>
        <v>4075</v>
      </c>
      <c r="D10" s="0" t="str">
        <f aca="false">IF(B10=4075,"OK","CHECK")</f>
        <v>OK</v>
      </c>
    </row>
    <row r="11" customFormat="false" ht="15" hidden="false" customHeight="false" outlineLevel="0" collapsed="false">
      <c r="A11" s="0" t="s">
        <v>15</v>
      </c>
      <c r="B11" s="0" t="n">
        <v>2750</v>
      </c>
    </row>
    <row r="12" customFormat="false" ht="15" hidden="false" customHeight="false" outlineLevel="0" collapsed="false">
      <c r="A12" s="0" t="s">
        <v>16</v>
      </c>
      <c r="B12" s="0" t="n">
        <v>719</v>
      </c>
    </row>
    <row r="13" customFormat="false" ht="15" hidden="false" customHeight="false" outlineLevel="0" collapsed="false">
      <c r="A13" s="0" t="s">
        <v>17</v>
      </c>
      <c r="B13" s="0" t="n">
        <v>24</v>
      </c>
    </row>
    <row r="14" customFormat="false" ht="15" hidden="false" customHeight="false" outlineLevel="0" collapsed="false">
      <c r="A14" s="0" t="s">
        <v>18</v>
      </c>
      <c r="B14" s="0" t="n">
        <f aca="false">SUM(B11:B13)</f>
        <v>3493</v>
      </c>
      <c r="D14" s="0" t="str">
        <f aca="false">IF(B14=3493,"OK","CHECK")</f>
        <v>OK</v>
      </c>
    </row>
    <row r="15" customFormat="false" ht="15" hidden="false" customHeight="false" outlineLevel="0" collapsed="false">
      <c r="A15" s="0" t="s">
        <v>19</v>
      </c>
      <c r="B15" s="0" t="n">
        <f aca="false">B10-B14</f>
        <v>582</v>
      </c>
      <c r="D15" s="0" t="str">
        <f aca="false">IF(B15=582,"OK","CHECK")</f>
        <v>OK</v>
      </c>
    </row>
    <row r="16" customFormat="false" ht="15" hidden="false" customHeight="false" outlineLevel="0" collapsed="false">
      <c r="A16" s="0" t="s">
        <v>20</v>
      </c>
      <c r="B16" s="0" t="n">
        <v>559</v>
      </c>
      <c r="C16" s="0" t="s">
        <v>21</v>
      </c>
    </row>
    <row r="17" customFormat="false" ht="15" hidden="false" customHeight="false" outlineLevel="0" collapsed="false">
      <c r="A17" s="0" t="s">
        <v>22</v>
      </c>
      <c r="B17" s="0" t="n">
        <f aca="false">B15-B16</f>
        <v>23</v>
      </c>
      <c r="D17" s="0" t="str">
        <f aca="false">IF(B17=23,"OK","CHECK")</f>
        <v>OK</v>
      </c>
    </row>
    <row r="18" customFormat="false" ht="15" hidden="false" customHeight="false" outlineLevel="0" collapsed="false">
      <c r="A18" s="0" t="s">
        <v>23</v>
      </c>
      <c r="B18" s="0" t="n">
        <v>0</v>
      </c>
    </row>
    <row r="19" customFormat="false" ht="15" hidden="false" customHeight="false" outlineLevel="0" collapsed="false">
      <c r="A19" s="0" t="s">
        <v>24</v>
      </c>
      <c r="B19" s="0" t="n">
        <f aca="false">B17-B18</f>
        <v>23</v>
      </c>
      <c r="D19" s="0" t="str">
        <f aca="false">IF(B19=23,"OK","CHECK")</f>
        <v>OK</v>
      </c>
    </row>
    <row r="20" customFormat="false" ht="15" hidden="false" customHeight="false" outlineLevel="0" collapsed="false">
      <c r="A20" s="0" t="s">
        <v>25</v>
      </c>
      <c r="B20" s="0" t="n">
        <v>2</v>
      </c>
    </row>
    <row r="21" customFormat="false" ht="15" hidden="false" customHeight="false" outlineLevel="0" collapsed="false">
      <c r="A21" s="0" t="s">
        <v>26</v>
      </c>
      <c r="B21" s="0" t="n">
        <f aca="false">B19-B20</f>
        <v>21</v>
      </c>
      <c r="C21" s="0" t="s">
        <v>27</v>
      </c>
      <c r="D21" s="0" t="str">
        <f aca="false">IF(B21=21,"OK","CHECK")</f>
        <v>OK</v>
      </c>
    </row>
    <row r="22" customFormat="false" ht="15" hidden="false" customHeight="false" outlineLevel="0" collapsed="false">
      <c r="A22" s="0" t="s">
        <v>28</v>
      </c>
      <c r="B22" s="0" t="n">
        <v>20</v>
      </c>
      <c r="D22" s="0" t="str">
        <f aca="false">IF(AND(B22&lt;=B21,B22&gt;=15),"OK","CHECK")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2026-10-17T16:03:39Z</dcterms:created>
  <dc:creator>openpyxl</dc:creator>
  <dc:description/>
  <dc:language>en-US</dc:language>
  <cp:lastModifiedBy/>
  <dcterms:modified xsi:type="dcterms:W3CDTF">2026-10-17T16:03:39Z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
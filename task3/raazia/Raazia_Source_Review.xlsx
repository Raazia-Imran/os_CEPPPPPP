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aa2a062ca942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5cb3bd51fcc43ed"/>
    <x:sheet xmlns:r="http://schemas.openxmlformats.org/officeDocument/2006/relationships" name="Study Review" sheetId="2" r:id="R800daa39e9db4c36"/>
    <x:sheet xmlns:r="http://schemas.openxmlformats.org/officeDocument/2006/relationships" name="QA Review" sheetId="3" r:id="R1d6a08af88ad421d"/>
    <x:sheet xmlns:r="http://schemas.openxmlformats.org/officeDocument/2006/relationships" name="Outcome Review" sheetId="4" r:id="R359542cd44604956"/>
    <x:sheet xmlns:r="http://schemas.openxmlformats.org/officeDocument/2006/relationships" name="Corrections" sheetId="5" r:id="R702fa4e5b9f645bd"/>
    <x:sheet xmlns:r="http://schemas.openxmlformats.org/officeDocument/2006/relationships" name="QA Summary" sheetId="6" r:id="Rd9e05b957a244ade"/>
    <x:sheet xmlns:r="http://schemas.openxmlformats.org/officeDocument/2006/relationships" name="Eligibility Review" sheetId="7" r:id="Rcd05c4f617e241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93E5C"/>
      </x:patternFill>
    </x:fill>
    <x:fill>
      <x:patternFill patternType="solid">
        <x:fgColor rgb="FF193E5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c781fea7894812" /><Relationship Type="http://schemas.openxmlformats.org/officeDocument/2006/relationships/theme" Target="/xl/theme/theme1.xml" Id="Rc24836ad20ab438b" /><Relationship Type="http://schemas.openxmlformats.org/officeDocument/2006/relationships/sharedStrings" Target="/xl/sharedStrings.xml" Id="R7bcdf2f270374f76" /><Relationship Type="http://schemas.openxmlformats.org/officeDocument/2006/relationships/worksheet" Target="/xl/worksheets/sheet1.xml" Id="Rf5cb3bd51fcc43ed" /><Relationship Type="http://schemas.openxmlformats.org/officeDocument/2006/relationships/worksheet" Target="/xl/worksheets/sheet2.xml" Id="R800daa39e9db4c36" /><Relationship Type="http://schemas.openxmlformats.org/officeDocument/2006/relationships/worksheet" Target="/xl/worksheets/sheet3.xml" Id="R1d6a08af88ad421d" /><Relationship Type="http://schemas.openxmlformats.org/officeDocument/2006/relationships/worksheet" Target="/xl/worksheets/sheet4.xml" Id="R359542cd44604956" /><Relationship Type="http://schemas.openxmlformats.org/officeDocument/2006/relationships/worksheet" Target="/xl/worksheets/sheet5.xml" Id="R702fa4e5b9f645bd" /><Relationship Type="http://schemas.openxmlformats.org/officeDocument/2006/relationships/worksheet" Target="/xl/worksheets/sheet6.xml" Id="Rd9e05b957a244ade" /><Relationship Type="http://schemas.openxmlformats.org/officeDocument/2006/relationships/worksheet" Target="/xl/worksheets/sheet7.xml" Id="Rcd05c4f617e24148" /></Relationships>
</file>

<file path=xl/tables/table1.xml><?xml version="1.0" encoding="utf-8"?>
<x:table xmlns:x="http://schemas.openxmlformats.org/spreadsheetml/2006/main" id="1" name="TOverview" displayName="TOverview" ref="A1:C11" headerRowCount="1" totalsRowCount="0" totalsRowShown="0">
  <x:tableColumns count="3">
    <x:tableColumn id="1" name="Task"/>
    <x:tableColumn id="2" name="Value"/>
    <x:tableColumn id="3" name="Meanin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StudyReview" displayName="TStudyReview" ref="A1:N8" headerRowCount="1" totalsRowCount="0" totalsRowShown="0">
  <x:tableColumns count="14">
    <x:tableColumn id="1" name="Study ID"/>
    <x:tableColumn id="2" name="Report ID"/>
    <x:tableColumn id="3" name="Title"/>
    <x:tableColumn id="4" name="Year"/>
    <x:tableColumn id="5" name="Venue"/>
    <x:tableColumn id="6" name="DOI or proceedings"/>
    <x:tableColumn id="7" name="Source URL"/>
    <x:tableColumn id="8" name="PDF pages"/>
    <x:tableColumn id="9" name="SHA256"/>
    <x:tableColumn id="10" name="Version checked"/>
    <x:tableColumn id="11" name="Original QA"/>
    <x:tableColumn id="12" name="Reviewed QA"/>
    <x:tableColumn id="13" name="Maximum"/>
    <x:tableColumn id="14" name="Checked UTC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QAReview" displayName="TQAReview" ref="A1:L71" headerRowCount="1" totalsRowCount="0" totalsRowShown="0">
  <x:tableColumns count="12">
    <x:tableColumn id="1" name="Report ID"/>
    <x:tableColumn id="2" name="Criterion"/>
    <x:tableColumn id="3" name="Original score"/>
    <x:tableColumn id="4" name="Reviewed score"/>
    <x:tableColumn id="5" name="Maximum"/>
    <x:tableColumn id="6" name="Assessment"/>
    <x:tableColumn id="7" name="Rationale"/>
    <x:tableColumn id="8" name="Source anchor"/>
    <x:tableColumn id="9" name="Source URL"/>
    <x:tableColumn id="10" name="Reviewer"/>
    <x:tableColumn id="11" name="Checked UTC"/>
    <x:tableColumn id="12" name="Independent human v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OutcomeReview" displayName="TOutcomeReview" ref="A1:O14" headerRowCount="1" totalsRowCount="0" totalsRowShown="0">
  <x:tableColumns count="15">
    <x:tableColumn id="1" name="Evidence ID"/>
    <x:tableColumn id="2" name="Report ID"/>
    <x:tableColumn id="3" name="Metric"/>
    <x:tableColumn id="4" name="Value"/>
    <x:tableColumn id="5" name="Units"/>
    <x:tableColumn id="6" name="Baseline"/>
    <x:tableColumn id="7" name="Hardware"/>
    <x:tableColumn id="8" name="Workload"/>
    <x:tableColumn id="9" name="Interpretation"/>
    <x:tableColumn id="10" name="Evidence location"/>
    <x:tableColumn id="11" name="Source"/>
    <x:tableColumn id="12" name="Original anchor"/>
    <x:tableColumn id="13" name="Review result"/>
    <x:tableColumn id="14" name="Checked UTC"/>
    <x:tableColumn id="15" name="Reviewe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Corrections" displayName="TCorrections" ref="A1:F13" headerRowCount="1" totalsRowCount="0" totalsRowShown="0">
  <x:tableColumns count="6">
    <x:tableColumn id="1" name="Change ID"/>
    <x:tableColumn id="2" name="Scope"/>
    <x:tableColumn id="3" name="Field"/>
    <x:tableColumn id="4" name="Original"/>
    <x:tableColumn id="5" name="Reviewed treatment"/>
    <x:tableColumn id="6" name="Eviden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QASummary" displayName="TQASummary" ref="A1:G8" headerRowCount="1" totalsRowCount="0" totalsRowShown="0">
  <x:tableColumns count="7">
    <x:tableColumn id="1" name="Study ID"/>
    <x:tableColumn id="2" name="Report ID"/>
    <x:tableColumn id="3" name="Original QA"/>
    <x:tableColumn id="4" name="Reviewed QA"/>
    <x:tableColumn id="5" name="Maximum"/>
    <x:tableColumn id="6" name="Change"/>
    <x:tableColumn id="7" name="Checked outcom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EligibilityReview" displayName="TEligibilityReview" ref="A1:H43" headerRowCount="1" totalsRowCount="0" totalsRowShown="0">
  <x:tableColumns count="8">
    <x:tableColumn id="1" name="Study ID"/>
    <x:tableColumn id="2" name="Report ID"/>
    <x:tableColumn id="3" name="Criterion"/>
    <x:tableColumn id="4" name="Review finding"/>
    <x:tableColumn id="5" name="Basis"/>
    <x:tableColumn id="6" name="Anchor"/>
    <x:tableColumn id="7" name="Reviewer"/>
    <x:tableColumn id="8" name="Checked UTC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a79d2955cdf47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fa48cb184b941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22edca809fb4e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61ead01834c46f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05fe28bdfb34b1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8f7a92ae962480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af217045adc4413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0" hidden="0" customWidth="1"/>
    <x:col min="2" max="2" width="34" hidden="0" customWidth="1"/>
    <x:col min="3" max="3" width="80" hidden="0" customWidth="1"/>
  </x:cols>
  <x:sheetData>
    <x:row r="1" ht="42" customHeight="1">
      <x:c r="A1" s="5" t="str">
        <x:v>Task</x:v>
      </x:c>
      <x:c r="B1" s="5" t="str">
        <x:v>Value</x:v>
      </x:c>
      <x:c r="C1" s="5" t="str">
        <x:v>Meaning</x:v>
      </x:c>
    </x:row>
    <x:row r="2" ht="80" customHeight="1">
      <x:c r="A2" s="3" t="str">
        <x:v>Study source reviews</x:v>
      </x:c>
      <x:c r="B2" s="3" t="n">
        <x:v>7</x:v>
      </x:c>
      <x:c r="C2" s="3" t="str">
        <x:v>S008-S014</x:v>
      </x:c>
    </x:row>
    <x:row r="3" ht="80" customHeight="1">
      <x:c r="A3" s="3" t="str">
        <x:v>QA item appraisals</x:v>
      </x:c>
      <x:c r="B3" s="3" t="n">
        <x:v>70</x:v>
      </x:c>
      <x:c r="C3" s="3" t="str">
        <x:v>10 criteria per study</x:v>
      </x:c>
    </x:row>
    <x:row r="4" ht="80" customHeight="1">
      <x:c r="A4" s="3" t="str">
        <x:v>Outcome checks</x:v>
      </x:c>
      <x:c r="B4" s="3" t="n">
        <x:v>13</x:v>
      </x:c>
      <x:c r="C4" s="3" t="str">
        <x:v>Values and contexts checked against accessed full text</x:v>
      </x:c>
    </x:row>
    <x:row r="5" ht="80" customHeight="1">
      <x:c r="A5" s="3" t="str">
        <x:v>Original QA total</x:v>
      </x:c>
      <x:c r="B5" s="3" t="n">
        <x:f>SUM('QA Summary'!C2:C8)</x:f>
        <x:v>110</x:v>
      </x:c>
      <x:c r="C5" s="3" t="str">
        <x:v>Sum across the seven studies</x:v>
      </x:c>
    </x:row>
    <x:row r="6" ht="80" customHeight="1">
      <x:c r="A6" s="3" t="str">
        <x:v>Reviewed QA total</x:v>
      </x:c>
      <x:c r="B6" s="3" t="n">
        <x:f>SUM('QA Summary'!D2:D8)</x:f>
        <x:v>114</x:v>
      </x:c>
      <x:c r="C6" s="3" t="str">
        <x:v>AI reappraisal, not a human independent vote</x:v>
      </x:c>
    </x:row>
    <x:row r="7" ht="80" customHeight="1">
      <x:c r="A7" s="3" t="str">
        <x:v>Applicable maximum</x:v>
      </x:c>
      <x:c r="B7" s="3" t="n">
        <x:v>140</x:v>
      </x:c>
      <x:c r="C7" s="3" t="str">
        <x:v>7 studies x20</x:v>
      </x:c>
    </x:row>
    <x:row r="8" ht="80" customHeight="1">
      <x:c r="A8" s="3" t="str">
        <x:v>Attribution</x:v>
      </x:c>
      <x:c r="B8" s="3" t="str">
        <x:v>AI assistant under Raazia direction</x:v>
      </x:c>
      <x:c r="C8" s="3" t="str">
        <x:v>Actual reviewer role</x:v>
      </x:c>
    </x:row>
    <x:row r="9" ht="80" customHeight="1">
      <x:c r="A9" s="3" t="str">
        <x:v>Scope</x:v>
      </x:c>
      <x:c r="B9" s="3" t="str">
        <x:v>Seven-study source review</x:v>
      </x:c>
      <x:c r="C9" s="3" t="str">
        <x:v>Other team assignments and the559-record coverage question remain outside this task</x:v>
      </x:c>
    </x:row>
    <x:row r="10" ht="80" customHeight="1">
      <x:c r="A10" s="3" t="str">
        <x:v>Source versions</x:v>
      </x:c>
      <x:c r="B10" s="3" t="str">
        <x:v>See Study Review</x:v>
      </x:c>
      <x:c r="C10" s="3" t="str">
        <x:v>ParvaGPU numbers are scoped to accessed arXivv1</x:v>
      </x:c>
    </x:row>
    <x:row r="11" ht="80" customHeight="1">
      <x:c r="A11" s="3" t="str">
        <x:v>Historical data</x:v>
      </x:c>
      <x:c r="B11" s="3" t="str">
        <x:v>Frozen baseline preserved</x:v>
      </x:c>
      <x:c r="C11" s="3" t="str">
        <x:v>Corrections are stored in a processed overlay</x:v>
      </x:c>
    </x:row>
  </x:sheetData>
  <x:pageMargins left="0.7" right="0.7" top="0.75" bottom="0.75" header="0.3" footer="0.3"/>
  <x:tableParts count="1">
    <x:tablePart xmlns:r="http://schemas.openxmlformats.org/officeDocument/2006/relationships" r:id="Rea79d2955cdf47d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3" hidden="0" customWidth="1"/>
    <x:col min="2" max="2" width="13" hidden="0" customWidth="1"/>
    <x:col min="3" max="3" width="65" hidden="0" customWidth="1"/>
    <x:col min="4" max="4" width="12" hidden="0" customWidth="1"/>
    <x:col min="5" max="5" width="44" hidden="0" customWidth="1"/>
    <x:col min="6" max="6" width="38" hidden="0" customWidth="1"/>
    <x:col min="7" max="7" width="65" hidden="0" customWidth="1"/>
    <x:col min="8" max="8" width="12" hidden="0" customWidth="1"/>
    <x:col min="9" max="9" width="70" hidden="0" customWidth="1"/>
    <x:col min="10" max="10" width="75" hidden="0" customWidth="1"/>
    <x:col min="11" max="11" width="15" hidden="0" customWidth="1"/>
    <x:col min="12" max="12" width="15" hidden="0" customWidth="1"/>
    <x:col min="13" max="13" width="15" hidden="0" customWidth="1"/>
    <x:col min="14" max="14" width="30" hidden="0" customWidth="1"/>
  </x:cols>
  <x:sheetData>
    <x:row r="1" ht="42" customHeight="1">
      <x:c r="A1" s="5" t="str">
        <x:v>Study ID</x:v>
      </x:c>
      <x:c r="B1" s="5" t="str">
        <x:v>Report ID</x:v>
      </x:c>
      <x:c r="C1" s="5" t="str">
        <x:v>Title</x:v>
      </x:c>
      <x:c r="D1" s="5" t="str">
        <x:v>Year</x:v>
      </x:c>
      <x:c r="E1" s="5" t="str">
        <x:v>Venue</x:v>
      </x:c>
      <x:c r="F1" s="5" t="str">
        <x:v>DOI or proceedings</x:v>
      </x:c>
      <x:c r="G1" s="5" t="str">
        <x:v>Source URL</x:v>
      </x:c>
      <x:c r="H1" s="5" t="str">
        <x:v>PDF pages</x:v>
      </x:c>
      <x:c r="I1" s="5" t="str">
        <x:v>SHA256</x:v>
      </x:c>
      <x:c r="J1" s="5" t="str">
        <x:v>Version checked</x:v>
      </x:c>
      <x:c r="K1" s="5" t="str">
        <x:v>Original QA</x:v>
      </x:c>
      <x:c r="L1" s="5" t="str">
        <x:v>Reviewed QA</x:v>
      </x:c>
      <x:c r="M1" s="5" t="str">
        <x:v>Maximum</x:v>
      </x:c>
      <x:c r="N1" s="5" t="str">
        <x:v>Checked UTC</x:v>
      </x:c>
    </x:row>
    <x:row r="2" ht="80" customHeight="1">
      <x:c r="A2" s="3" t="str">
        <x:v>S008</x:v>
      </x:c>
      <x:c r="B2" s="3" t="str">
        <x:v>P008</x:v>
      </x:c>
      <x:c r="C2" s="3" t="str">
        <x:v>GSLICE: Controlled Spatial Sharing of GPUs for a Scalable Inference Platform</x:v>
      </x:c>
      <x:c r="D2" s="3" t="n">
        <x:v>2020</x:v>
      </x:c>
      <x:c r="E2" s="3" t="str">
        <x:v>SoCC 2020</x:v>
      </x:c>
      <x:c r="F2" s="3" t="str">
        <x:v>10.1145/3419111.3421284</x:v>
      </x:c>
      <x:c r="G2" s="3" t="str">
        <x:v>https://www.cse.iitb.ac.in/~puru/courses/spring2024-25/downloads/gslice.pdf</x:v>
      </x:c>
      <x:c r="H2" s="3" t="n">
        <x:v>15</x:v>
      </x:c>
      <x:c r="I2" s="3" t="str">
        <x:v>f8e67a94189a3db224886768bd197e020f30a26572caf7f88cbb28efd35631c9</x:v>
      </x:c>
      <x:c r="J2" s="3" t="str">
        <x:v>Conference paper; title and author identity matched in accessed PDF</x:v>
      </x:c>
      <x:c r="K2" s="3" t="n">
        <x:v>17</x:v>
      </x:c>
      <x:c r="L2" s="3" t="n">
        <x:v>17</x:v>
      </x:c>
      <x:c r="M2" s="3" t="n">
        <x:v>20</x:v>
      </x:c>
      <x:c r="N2" s="3" t="d">
        <x:v>2026-10-21T09:43:49.697Z</x:v>
      </x:c>
    </x:row>
    <x:row r="3" ht="80" customHeight="1">
      <x:c r="A3" s="3" t="str">
        <x:v>S009</x:v>
      </x:c>
      <x:c r="B3" s="3" t="str">
        <x:v>P009</x:v>
      </x:c>
      <x:c r="C3" s="3" t="str">
        <x:v>Serving DNNs like Clockwork: Performance Predictability from the Bottom Up</x:v>
      </x:c>
      <x:c r="D3" s="3" t="n">
        <x:v>2020</x:v>
      </x:c>
      <x:c r="E3" s="3" t="str">
        <x:v>USENIX OSDI 2020</x:v>
      </x:c>
      <x:c r="F3" s="3" t="str">
        <x:v>USENIX proceedings (no DOI assigned)</x:v>
      </x:c>
      <x:c r="G3" s="3" t="str">
        <x:v>https://www.usenix.org/system/files/osdi20-gujarati.pdf</x:v>
      </x:c>
      <x:c r="H3" s="3" t="n">
        <x:v>21</x:v>
      </x:c>
      <x:c r="I3" s="3" t="str">
        <x:v>31e12ad02b25dfc0296bbaa577c4dd46cee8bf3ae4e4db51aaa5d557a794abfb</x:v>
      </x:c>
      <x:c r="J3" s="3" t="str">
        <x:v>Conference paper; title and author identity matched in accessed PDF</x:v>
      </x:c>
      <x:c r="K3" s="3" t="n">
        <x:v>16</x:v>
      </x:c>
      <x:c r="L3" s="3" t="n">
        <x:v>18</x:v>
      </x:c>
      <x:c r="M3" s="3" t="n">
        <x:v>20</x:v>
      </x:c>
      <x:c r="N3" s="3" t="d">
        <x:v>2026-10-21T09:43:49.697Z</x:v>
      </x:c>
    </x:row>
    <x:row r="4" ht="80" customHeight="1">
      <x:c r="A4" s="3" t="str">
        <x:v>S010</x:v>
      </x:c>
      <x:c r="B4" s="3" t="str">
        <x:v>P010</x:v>
      </x:c>
      <x:c r="C4" s="3" t="str">
        <x:v>Colocating ML Inference and Training with Fast GPU Memory Handover (SIRIUS)</x:v>
      </x:c>
      <x:c r="D4" s="3" t="n">
        <x:v>2025</x:v>
      </x:c>
      <x:c r="E4" s="3" t="str">
        <x:v>USENIX ATC2025, pp1657-1675</x:v>
      </x:c>
      <x:c r="F4" s="3" t="str">
        <x:v>USENIX proceedings (no DOI assigned)</x:v>
      </x:c>
      <x:c r="G4" s="3" t="str">
        <x:v>https://www.usenix.org/system/files/atc25-wang-jiali.pdf</x:v>
      </x:c>
      <x:c r="H4" s="3" t="n">
        <x:v>20</x:v>
      </x:c>
      <x:c r="I4" s="3" t="str">
        <x:v>a479c6a6719d7577e36c31c1ee216a6ca8f6cadb5b4b09b1ff73ee6f6befaca0</x:v>
      </x:c>
      <x:c r="J4" s="3" t="str">
        <x:v>Conference paper; title and author identity matched in accessed PDF</x:v>
      </x:c>
      <x:c r="K4" s="3" t="n">
        <x:v>17</x:v>
      </x:c>
      <x:c r="L4" s="3" t="n">
        <x:v>17</x:v>
      </x:c>
      <x:c r="M4" s="3" t="n">
        <x:v>20</x:v>
      </x:c>
      <x:c r="N4" s="3" t="d">
        <x:v>2026-10-21T09:43:49.697Z</x:v>
      </x:c>
    </x:row>
    <x:row r="5" ht="80" customHeight="1">
      <x:c r="A5" s="3" t="str">
        <x:v>S011</x:v>
      </x:c>
      <x:c r="B5" s="3" t="str">
        <x:v>P011</x:v>
      </x:c>
      <x:c r="C5" s="3" t="str">
        <x:v>ParvaGPU: Efficient Spatial GPU Sharing for Large-Scale DNN Inference in Cloud Environments</x:v>
      </x:c>
      <x:c r="D5" s="3" t="n">
        <x:v>2024</x:v>
      </x:c>
      <x:c r="E5" s="3" t="str">
        <x:v>SC2024 identity; extracted text is arXiv2409.14447v1</x:v>
      </x:c>
      <x:c r="F5" s="3" t="str">
        <x:v>10.1109/SC41406.2024.00048</x:v>
      </x:c>
      <x:c r="G5" s="3" t="str">
        <x:v>https://arxiv.org/pdf/2409.14447</x:v>
      </x:c>
      <x:c r="H5" s="3" t="n">
        <x:v>12</x:v>
      </x:c>
      <x:c r="I5" s="3" t="str">
        <x:v>fb48e7b3e15cdedd1e9abec9b69764a9e18531fe3346e63d92d445bdf72c8f50</x:v>
      </x:c>
      <x:c r="J5" s="3" t="str">
        <x:v>arXiv2409.14447v1; SC24 publication identity confirmed from conference/author records; final text equivalence not established</x:v>
      </x:c>
      <x:c r="K5" s="3" t="n">
        <x:v>14</x:v>
      </x:c>
      <x:c r="L5" s="3" t="n">
        <x:v>14</x:v>
      </x:c>
      <x:c r="M5" s="3" t="n">
        <x:v>20</x:v>
      </x:c>
      <x:c r="N5" s="3" t="d">
        <x:v>2026-10-21T09:43:49.697Z</x:v>
      </x:c>
    </x:row>
    <x:row r="6" ht="80" customHeight="1">
      <x:c r="A6" s="3" t="str">
        <x:v>S012</x:v>
      </x:c>
      <x:c r="B6" s="3" t="str">
        <x:v>P012</x:v>
      </x:c>
      <x:c r="C6" s="3" t="str">
        <x:v>Torpor: GPU-Enabled Serverless Computing for Low-Latency, Resource-Efficient Inference</x:v>
      </x:c>
      <x:c r="D6" s="3" t="n">
        <x:v>2025</x:v>
      </x:c>
      <x:c r="E6" s="3" t="str">
        <x:v>USENIX ATC2025 pp597-612</x:v>
      </x:c>
      <x:c r="F6" s="3" t="str">
        <x:v>USENIX proceedings (no DOI assigned)</x:v>
      </x:c>
      <x:c r="G6" s="3" t="str">
        <x:v>https://www.usenix.org/system/files/atc25-yu.pdf</x:v>
      </x:c>
      <x:c r="H6" s="3" t="n">
        <x:v>17</x:v>
      </x:c>
      <x:c r="I6" s="3" t="str">
        <x:v>f23e994fea5b089e01ecb7d7d03b371ca5d74a64f4c3a2aa9386a146eb2e5958</x:v>
      </x:c>
      <x:c r="J6" s="3" t="str">
        <x:v>Conference paper; title and author identity matched in accessed PDF</x:v>
      </x:c>
      <x:c r="K6" s="3" t="n">
        <x:v>15</x:v>
      </x:c>
      <x:c r="L6" s="3" t="n">
        <x:v>15</x:v>
      </x:c>
      <x:c r="M6" s="3" t="n">
        <x:v>20</x:v>
      </x:c>
      <x:c r="N6" s="3" t="d">
        <x:v>2026-10-21T09:43:49.697Z</x:v>
      </x:c>
    </x:row>
    <x:row r="7" ht="80" customHeight="1">
      <x:c r="A7" s="3" t="str">
        <x:v>S013</x:v>
      </x:c>
      <x:c r="B7" s="3" t="str">
        <x:v>P013</x:v>
      </x:c>
      <x:c r="C7" s="3" t="str">
        <x:v>StreamBox: A Lightweight GPU SandBox for Serverless Inference Workflow</x:v>
      </x:c>
      <x:c r="D7" s="3" t="n">
        <x:v>2024</x:v>
      </x:c>
      <x:c r="E7" s="3" t="str">
        <x:v>USENIX ATC2024 pp59-73</x:v>
      </x:c>
      <x:c r="F7" s="3" t="str">
        <x:v>USENIX proceedings (no DOI assigned)</x:v>
      </x:c>
      <x:c r="G7" s="3" t="str">
        <x:v>https://www.usenix.org/system/files/atc24-wu-hao.pdf</x:v>
      </x:c>
      <x:c r="H7" s="3" t="n">
        <x:v>16</x:v>
      </x:c>
      <x:c r="I7" s="3" t="str">
        <x:v>d8de46489c9256a44d867b6945e909ce4fce24d7e579351c7e4247bddcfaa255</x:v>
      </x:c>
      <x:c r="J7" s="3" t="str">
        <x:v>Conference paper; title and author identity matched in accessed PDF</x:v>
      </x:c>
      <x:c r="K7" s="3" t="n">
        <x:v>15</x:v>
      </x:c>
      <x:c r="L7" s="3" t="n">
        <x:v>17</x:v>
      </x:c>
      <x:c r="M7" s="3" t="n">
        <x:v>20</x:v>
      </x:c>
      <x:c r="N7" s="3" t="d">
        <x:v>2026-10-21T09:43:49.697Z</x:v>
      </x:c>
    </x:row>
    <x:row r="8" ht="80" customHeight="1">
      <x:c r="A8" s="3" t="str">
        <x:v>S014</x:v>
      </x:c>
      <x:c r="B8" s="3" t="str">
        <x:v>P014</x:v>
      </x:c>
      <x:c r="C8" s="3" t="str">
        <x:v>Efficient Performance-Aware GPU Sharing with Compatibility and Isolation through Kernel Space Interception (KRYPTON)</x:v>
      </x:c>
      <x:c r="D8" s="3" t="n">
        <x:v>2025</x:v>
      </x:c>
      <x:c r="E8" s="3" t="str">
        <x:v>USENIX ATC2025 pp1003-1019</x:v>
      </x:c>
      <x:c r="F8" s="3" t="str">
        <x:v>USENIX proceedings (no DOI assigned)</x:v>
      </x:c>
      <x:c r="G8" s="3" t="str">
        <x:v>https://www.usenix.org/system/files/atc25-zhang-shulai.pdf</x:v>
      </x:c>
      <x:c r="H8" s="3" t="n">
        <x:v>18</x:v>
      </x:c>
      <x:c r="I8" s="3" t="str">
        <x:v>5b5db1111ea8aa979d383e9480bbf931ee4e9194f96f7bf17daa61ea21b64264</x:v>
      </x:c>
      <x:c r="J8" s="3" t="str">
        <x:v>Conference paper; title and author identity matched in accessed PDF</x:v>
      </x:c>
      <x:c r="K8" s="3" t="n">
        <x:v>16</x:v>
      </x:c>
      <x:c r="L8" s="3" t="n">
        <x:v>16</x:v>
      </x:c>
      <x:c r="M8" s="3" t="n">
        <x:v>20</x:v>
      </x:c>
      <x:c r="N8" s="3" t="d">
        <x:v>2026-10-21T09:43:49.697Z</x:v>
      </x:c>
    </x:row>
  </x:sheetData>
  <x:pageMargins left="0.7" right="0.7" top="0.75" bottom="0.75" header="0.3" footer="0.3"/>
  <x:tableParts count="1">
    <x:tablePart xmlns:r="http://schemas.openxmlformats.org/officeDocument/2006/relationships" r:id="Rbfa48cb184b941f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29" hidden="0" customWidth="1"/>
    <x:col min="7" max="7" width="78" hidden="0" customWidth="1"/>
    <x:col min="8" max="8" width="52" hidden="0" customWidth="1"/>
    <x:col min="9" max="9" width="65" hidden="0" customWidth="1"/>
    <x:col min="10" max="10" width="42" hidden="0" customWidth="1"/>
    <x:col min="11" max="11" width="30" hidden="0" customWidth="1"/>
    <x:col min="12" max="12" width="25" hidden="0" customWidth="1"/>
  </x:cols>
  <x:sheetData>
    <x:row r="1" ht="42" customHeight="1">
      <x:c r="A1" s="5" t="str">
        <x:v>Report ID</x:v>
      </x:c>
      <x:c r="B1" s="5" t="str">
        <x:v>Criterion</x:v>
      </x:c>
      <x:c r="C1" s="5" t="str">
        <x:v>Original score</x:v>
      </x:c>
      <x:c r="D1" s="5" t="str">
        <x:v>Reviewed score</x:v>
      </x:c>
      <x:c r="E1" s="5" t="str">
        <x:v>Maximum</x:v>
      </x:c>
      <x:c r="F1" s="5" t="str">
        <x:v>Assessment</x:v>
      </x:c>
      <x:c r="G1" s="5" t="str">
        <x:v>Rationale</x:v>
      </x:c>
      <x:c r="H1" s="5" t="str">
        <x:v>Source anchor</x:v>
      </x:c>
      <x:c r="I1" s="5" t="str">
        <x:v>Source URL</x:v>
      </x:c>
      <x:c r="J1" s="5" t="str">
        <x:v>Reviewer</x:v>
      </x:c>
      <x:c r="K1" s="5" t="str">
        <x:v>Checked UTC</x:v>
      </x:c>
      <x:c r="L1" s="5" t="str">
        <x:v>Independent human vote</x:v>
      </x:c>
    </x:row>
    <x:row r="2" ht="80" customHeight="1">
      <x:c r="A2" s="3" t="str">
        <x:v>P008</x:v>
      </x:c>
      <x:c r="B2" s="3" t="str">
        <x:v>Q1</x:v>
      </x:c>
      <x:c r="C2" s="6" t="n">
        <x:v>2</x:v>
      </x:c>
      <x:c r="D2" s="6" t="n">
        <x:v>2</x:v>
      </x:c>
      <x:c r="E2" s="6" t="n">
        <x:v>2</x:v>
      </x:c>
      <x:c r="F2" s="3" t="str">
        <x:v>Source appraisal completed</x:v>
      </x:c>
      <x:c r="G2" s="3" t="str">
        <x:v>Inference sharing objective explicit.</x:v>
      </x:c>
      <x:c r="H2" s="3" t="str">
        <x:v>PDF p1; printed p492; abstract/introduction</x:v>
      </x:c>
      <x:c r="I2" s="3" t="str">
        <x:v>https://www.cse.iitb.ac.in/~puru/courses/spring2024-25/downloads/gslice.pdf</x:v>
      </x:c>
      <x:c r="J2" s="3" t="str">
        <x:v>AI assistant under Raazia direction</x:v>
      </x:c>
      <x:c r="K2" s="3" t="d">
        <x:v>2026-10-21T09:43:49.697Z</x:v>
      </x:c>
      <x:c r="L2" s="3" t="str"/>
    </x:row>
    <x:row r="3" ht="80" customHeight="1">
      <x:c r="A3" s="3" t="str">
        <x:v>P008</x:v>
      </x:c>
      <x:c r="B3" s="3" t="str">
        <x:v>Q2</x:v>
      </x:c>
      <x:c r="C3" s="6" t="n">
        <x:v>2</x:v>
      </x:c>
      <x:c r="D3" s="6" t="n">
        <x:v>2</x:v>
      </x:c>
      <x:c r="E3" s="6" t="n">
        <x:v>2</x:v>
      </x:c>
      <x:c r="F3" s="3" t="str">
        <x:v>Source appraisal completed</x:v>
      </x:c>
      <x:c r="G3" s="3" t="str">
        <x:v>MPS allocation and adaptive batching described.</x:v>
      </x:c>
      <x:c r="H3" s="3" t="str">
        <x:v>PDF pp4-8; section3</x:v>
      </x:c>
      <x:c r="I3" s="3" t="str">
        <x:v>https://www.cse.iitb.ac.in/~puru/courses/spring2024-25/downloads/gslice.pdf</x:v>
      </x:c>
      <x:c r="J3" s="3" t="str">
        <x:v>AI assistant under Raazia direction</x:v>
      </x:c>
      <x:c r="K3" s="3" t="d">
        <x:v>2026-10-21T09:43:49.697Z</x:v>
      </x:c>
      <x:c r="L3" s="3" t="str"/>
    </x:row>
    <x:row r="4" ht="80" customHeight="1">
      <x:c r="A4" s="3" t="str">
        <x:v>P008</x:v>
      </x:c>
      <x:c r="B4" s="3" t="str">
        <x:v>Q3</x:v>
      </x:c>
      <x:c r="C4" s="6" t="n">
        <x:v>1</x:v>
      </x:c>
      <x:c r="D4" s="6" t="n">
        <x:v>1</x:v>
      </x:c>
      <x:c r="E4" s="6" t="n">
        <x:v>2</x:v>
      </x:c>
      <x:c r="F4" s="3" t="str">
        <x:v>Source appraisal completed</x:v>
      </x:c>
      <x:c r="G4" s="3" t="str">
        <x:v>Confidence intervals shown; repeated-run count not specified for retained results.</x:v>
      </x:c>
      <x:c r="H4" s="3" t="str">
        <x:v>PDF p9; printed p500; section4.1</x:v>
      </x:c>
      <x:c r="I4" s="3" t="str">
        <x:v>https://www.cse.iitb.ac.in/~puru/courses/spring2024-25/downloads/gslice.pdf</x:v>
      </x:c>
      <x:c r="J4" s="3" t="str">
        <x:v>AI assistant under Raazia direction</x:v>
      </x:c>
      <x:c r="K4" s="3" t="d">
        <x:v>2026-10-21T09:43:49.697Z</x:v>
      </x:c>
      <x:c r="L4" s="3" t="str"/>
    </x:row>
    <x:row r="5" ht="80" customHeight="1">
      <x:c r="A5" s="3" t="str">
        <x:v>P008</x:v>
      </x:c>
      <x:c r="B5" s="3" t="str">
        <x:v>Q4</x:v>
      </x:c>
      <x:c r="C5" s="6" t="n">
        <x:v>2</x:v>
      </x:c>
      <x:c r="D5" s="6" t="n">
        <x:v>2</x:v>
      </x:c>
      <x:c r="E5" s="6" t="n">
        <x:v>2</x:v>
      </x:c>
      <x:c r="F5" s="3" t="str">
        <x:v>Source appraisal completed</x:v>
      </x:c>
      <x:c r="G5" s="3" t="str">
        <x:v>V100 testbed, kernel, frameworks and concurrent models specified.</x:v>
      </x:c>
      <x:c r="H5" s="3" t="str">
        <x:v>PDF pp8-9; section4 setup</x:v>
      </x:c>
      <x:c r="I5" s="3" t="str">
        <x:v>https://www.cse.iitb.ac.in/~puru/courses/spring2024-25/downloads/gslice.pdf</x:v>
      </x:c>
      <x:c r="J5" s="3" t="str">
        <x:v>AI assistant under Raazia direction</x:v>
      </x:c>
      <x:c r="K5" s="3" t="d">
        <x:v>2026-10-21T09:43:49.697Z</x:v>
      </x:c>
      <x:c r="L5" s="3" t="str"/>
    </x:row>
    <x:row r="6" ht="80" customHeight="1">
      <x:c r="A6" s="3" t="str">
        <x:v>P008</x:v>
      </x:c>
      <x:c r="B6" s="3" t="str">
        <x:v>Q5</x:v>
      </x:c>
      <x:c r="C6" s="6" t="n">
        <x:v>2</x:v>
      </x:c>
      <x:c r="D6" s="6" t="n">
        <x:v>2</x:v>
      </x:c>
      <x:c r="E6" s="6" t="n">
        <x:v>2</x:v>
      </x:c>
      <x:c r="F6" s="3" t="str">
        <x:v>Source appraisal completed</x:v>
      </x:c>
      <x:c r="G6" s="3" t="str">
        <x:v>TensorRT comparison matches GPU-ready batch execution and states excluded transport costs.</x:v>
      </x:c>
      <x:c r="H6" s="3" t="str">
        <x:v>PDF p10; printed p501; section4.3</x:v>
      </x:c>
      <x:c r="I6" s="3" t="str">
        <x:v>https://www.cse.iitb.ac.in/~puru/courses/spring2024-25/downloads/gslice.pdf</x:v>
      </x:c>
      <x:c r="J6" s="3" t="str">
        <x:v>AI assistant under Raazia direction</x:v>
      </x:c>
      <x:c r="K6" s="3" t="d">
        <x:v>2026-10-21T09:43:49.697Z</x:v>
      </x:c>
      <x:c r="L6" s="3" t="str"/>
    </x:row>
    <x:row r="7" ht="80" customHeight="1">
      <x:c r="A7" s="3" t="str">
        <x:v>P008</x:v>
      </x:c>
      <x:c r="B7" s="3" t="str">
        <x:v>Q6</x:v>
      </x:c>
      <x:c r="C7" s="6" t="n">
        <x:v>2</x:v>
      </x:c>
      <x:c r="D7" s="6" t="n">
        <x:v>2</x:v>
      </x:c>
      <x:c r="E7" s="6" t="n">
        <x:v>2</x:v>
      </x:c>
      <x:c r="F7" s="3" t="str">
        <x:v>Source appraisal completed</x:v>
      </x:c>
      <x:c r="G7" s="3" t="str">
        <x:v>GUE defined as an efficacy metric; table values are not busy percentages.</x:v>
      </x:c>
      <x:c r="H7" s="3" t="str">
        <x:v>PDF p3; printed p494; PDF p9 Table3</x:v>
      </x:c>
      <x:c r="I7" s="3" t="str">
        <x:v>https://www.cse.iitb.ac.in/~puru/courses/spring2024-25/downloads/gslice.pdf</x:v>
      </x:c>
      <x:c r="J7" s="3" t="str">
        <x:v>AI assistant under Raazia direction</x:v>
      </x:c>
      <x:c r="K7" s="3" t="d">
        <x:v>2026-10-21T09:43:49.697Z</x:v>
      </x:c>
      <x:c r="L7" s="3" t="str"/>
    </x:row>
    <x:row r="8" ht="80" customHeight="1">
      <x:c r="A8" s="3" t="str">
        <x:v>P008</x:v>
      </x:c>
      <x:c r="B8" s="3" t="str">
        <x:v>Q7</x:v>
      </x:c>
      <x:c r="C8" s="6" t="n">
        <x:v>1</x:v>
      </x:c>
      <x:c r="D8" s="6" t="n">
        <x:v>1</x:v>
      </x:c>
      <x:c r="E8" s="6" t="n">
        <x:v>2</x:v>
      </x:c>
      <x:c r="F8" s="3" t="str">
        <x:v>Source appraisal completed</x:v>
      </x:c>
      <x:c r="G8" s="3" t="str">
        <x:v>Median latency and SLO shown; request-tail quantile not established.</x:v>
      </x:c>
      <x:c r="H8" s="3" t="str">
        <x:v>PDF p10; section4.4; Figures12a-12b</x:v>
      </x:c>
      <x:c r="I8" s="3" t="str">
        <x:v>https://www.cse.iitb.ac.in/~puru/courses/spring2024-25/downloads/gslice.pdf</x:v>
      </x:c>
      <x:c r="J8" s="3" t="str">
        <x:v>AI assistant under Raazia direction</x:v>
      </x:c>
      <x:c r="K8" s="3" t="d">
        <x:v>2026-10-21T09:43:49.697Z</x:v>
      </x:c>
      <x:c r="L8" s="3" t="str"/>
    </x:row>
    <x:row r="9" ht="80" customHeight="1">
      <x:c r="A9" s="3" t="str">
        <x:v>P008</x:v>
      </x:c>
      <x:c r="B9" s="3" t="str">
        <x:v>Q8</x:v>
      </x:c>
      <x:c r="C9" s="6" t="n">
        <x:v>2</x:v>
      </x:c>
      <x:c r="D9" s="6" t="n">
        <x:v>2</x:v>
      </x:c>
      <x:c r="E9" s="6" t="n">
        <x:v>2</x:v>
      </x:c>
      <x:c r="F9" s="3" t="str">
        <x:v>Source appraisal completed</x:v>
      </x:c>
      <x:c r="G9" s="3" t="str">
        <x:v>Two-to-four-function combinations evaluated.</x:v>
      </x:c>
      <x:c r="H9" s="3" t="str">
        <x:v>PDF p9; section4.2; Figure10</x:v>
      </x:c>
      <x:c r="I9" s="3" t="str">
        <x:v>https://www.cse.iitb.ac.in/~puru/courses/spring2024-25/downloads/gslice.pdf</x:v>
      </x:c>
      <x:c r="J9" s="3" t="str">
        <x:v>AI assistant under Raazia direction</x:v>
      </x:c>
      <x:c r="K9" s="3" t="d">
        <x:v>2026-10-21T09:43:49.697Z</x:v>
      </x:c>
      <x:c r="L9" s="3" t="str"/>
    </x:row>
    <x:row r="10" ht="80" customHeight="1">
      <x:c r="A10" s="3" t="str">
        <x:v>P008</x:v>
      </x:c>
      <x:c r="B10" s="3" t="str">
        <x:v>Q9</x:v>
      </x:c>
      <x:c r="C10" s="6" t="n">
        <x:v>2</x:v>
      </x:c>
      <x:c r="D10" s="6" t="n">
        <x:v>2</x:v>
      </x:c>
      <x:c r="E10" s="6" t="n">
        <x:v>2</x:v>
      </x:c>
      <x:c r="F10" s="3" t="str">
        <x:v>Source appraisal completed</x:v>
      </x:c>
      <x:c r="G10" s="3" t="str">
        <x:v>Performance boundary evaluated under allocated GPU shares; no adversarial guarantee inferred.</x:v>
      </x:c>
      <x:c r="H10" s="3" t="str">
        <x:v>PDF pp5-7,10-11; sections3.2,4.5</x:v>
      </x:c>
      <x:c r="I10" s="3" t="str">
        <x:v>https://www.cse.iitb.ac.in/~puru/courses/spring2024-25/downloads/gslice.pdf</x:v>
      </x:c>
      <x:c r="J10" s="3" t="str">
        <x:v>AI assistant under Raazia direction</x:v>
      </x:c>
      <x:c r="K10" s="3" t="d">
        <x:v>2026-10-21T09:43:49.697Z</x:v>
      </x:c>
      <x:c r="L10" s="3" t="str"/>
    </x:row>
    <x:row r="11" ht="80" customHeight="1">
      <x:c r="A11" s="3" t="str">
        <x:v>P008</x:v>
      </x:c>
      <x:c r="B11" s="3" t="str">
        <x:v>Q10</x:v>
      </x:c>
      <x:c r="C11" s="6" t="n">
        <x:v>1</x:v>
      </x:c>
      <x:c r="D11" s="6" t="n">
        <x:v>1</x:v>
      </x:c>
      <x:c r="E11" s="6" t="n">
        <x:v>2</x:v>
      </x:c>
      <x:c r="F11" s="3" t="str">
        <x:v>Source appraisal completed</x:v>
      </x:c>
      <x:c r="G11" s="3" t="str">
        <x:v>Implementation and sensitivity described; full reproduction package not established in accessed copy.</x:v>
      </x:c>
      <x:c r="H11" s="3" t="str">
        <x:v>PDF pp8-13; sections4-6</x:v>
      </x:c>
      <x:c r="I11" s="3" t="str">
        <x:v>https://www.cse.iitb.ac.in/~puru/courses/spring2024-25/downloads/gslice.pdf</x:v>
      </x:c>
      <x:c r="J11" s="3" t="str">
        <x:v>AI assistant under Raazia direction</x:v>
      </x:c>
      <x:c r="K11" s="3" t="d">
        <x:v>2026-10-21T09:43:49.697Z</x:v>
      </x:c>
      <x:c r="L11" s="3" t="str"/>
    </x:row>
    <x:row r="12" ht="80" customHeight="1">
      <x:c r="A12" s="3" t="str">
        <x:v>P009</x:v>
      </x:c>
      <x:c r="B12" s="3" t="str">
        <x:v>Q1</x:v>
      </x:c>
      <x:c r="C12" s="6" t="n">
        <x:v>2</x:v>
      </x:c>
      <x:c r="D12" s="6" t="n">
        <x:v>2</x:v>
      </x:c>
      <x:c r="E12" s="6" t="n">
        <x:v>2</x:v>
      </x:c>
      <x:c r="F12" s="3" t="str">
        <x:v>Source appraisal completed</x:v>
      </x:c>
      <x:c r="G12" s="3" t="str">
        <x:v>Predictable multi-model inference objective and target behavior explicit.</x:v>
      </x:c>
      <x:c r="H12" s="3" t="str">
        <x:v>PDF p2; printed p443; section1</x:v>
      </x:c>
      <x:c r="I12" s="3" t="str">
        <x:v>https://people.mpi-sws.org/~antoinek/documents/20osdi_clockwork.pdf</x:v>
      </x:c>
      <x:c r="J12" s="3" t="str">
        <x:v>AI assistant under Raazia direction</x:v>
      </x:c>
      <x:c r="K12" s="3" t="d">
        <x:v>2026-10-21T09:43:49.697Z</x:v>
      </x:c>
      <x:c r="L12" s="3" t="str"/>
    </x:row>
    <x:row r="13" ht="80" customHeight="1">
      <x:c r="A13" s="3" t="str">
        <x:v>P009</x:v>
      </x:c>
      <x:c r="B13" s="3" t="str">
        <x:v>Q2</x:v>
      </x:c>
      <x:c r="C13" s="6" t="n">
        <x:v>2</x:v>
      </x:c>
      <x:c r="D13" s="6" t="n">
        <x:v>2</x:v>
      </x:c>
      <x:c r="E13" s="6" t="n">
        <x:v>2</x:v>
      </x:c>
      <x:c r="F13" s="3" t="str">
        <x:v>Source appraisal completed</x:v>
      </x:c>
      <x:c r="G13" s="3" t="str">
        <x:v>Controller scheduling, worker actions and managed model runtime described.</x:v>
      </x:c>
      <x:c r="H13" s="3" t="str">
        <x:v>PDF pp6-10; sections4-5</x:v>
      </x:c>
      <x:c r="I13" s="3" t="str">
        <x:v>https://people.mpi-sws.org/~antoinek/documents/20osdi_clockwork.pdf</x:v>
      </x:c>
      <x:c r="J13" s="3" t="str">
        <x:v>AI assistant under Raazia direction</x:v>
      </x:c>
      <x:c r="K13" s="3" t="d">
        <x:v>2026-10-21T09:43:49.697Z</x:v>
      </x:c>
      <x:c r="L13" s="3" t="str"/>
    </x:row>
    <x:row r="14" ht="80" customHeight="1">
      <x:c r="A14" s="3" t="str">
        <x:v>P009</x:v>
      </x:c>
      <x:c r="B14" s="3" t="str">
        <x:v>Q3</x:v>
      </x:c>
      <x:c r="C14" s="6" t="n">
        <x:v>1</x:v>
      </x:c>
      <x:c r="D14" s="6" t="n">
        <x:v>1</x:v>
      </x:c>
      <x:c r="E14" s="6" t="n">
        <x:v>2</x:v>
      </x:c>
      <x:c r="F14" s="3" t="str">
        <x:v>Source appraisal completed</x:v>
      </x:c>
      <x:c r="G14" s="3" t="str">
        <x:v>Section6.6 reports three scaling repetitions; repeated-run count for retained Figure5 is not specified.</x:v>
      </x:c>
      <x:c r="H14" s="3" t="str">
        <x:v>PDF pp10-11,14; sections6.1,6.6</x:v>
      </x:c>
      <x:c r="I14" s="3" t="str">
        <x:v>https://people.mpi-sws.org/~antoinek/documents/20osdi_clockwork.pdf</x:v>
      </x:c>
      <x:c r="J14" s="3" t="str">
        <x:v>AI assistant under Raazia direction</x:v>
      </x:c>
      <x:c r="K14" s="3" t="d">
        <x:v>2026-10-21T09:43:49.697Z</x:v>
      </x:c>
      <x:c r="L14" s="3" t="str"/>
    </x:row>
    <x:row r="15" ht="80" customHeight="1">
      <x:c r="A15" s="3" t="str">
        <x:v>P009</x:v>
      </x:c>
      <x:c r="B15" s="3" t="str">
        <x:v>Q4</x:v>
      </x:c>
      <x:c r="C15" s="6" t="n">
        <x:v>1</x:v>
      </x:c>
      <x:c r="D15" s="6" t="n">
        <x:v>2</x:v>
      </x:c>
      <x:c r="E15" s="6" t="n">
        <x:v>2</x:v>
      </x:c>
      <x:c r="F15" s="3" t="str">
        <x:v>Source appraisal completed</x:v>
      </x:c>
      <x:c r="G15" s="3" t="str">
        <x:v>V100 hardware, TVM v0.7 compiler, model set and client configuration are reported.</x:v>
      </x:c>
      <x:c r="H15" s="3" t="str">
        <x:v>PDF pp4,7,10; Table1; sections2,6</x:v>
      </x:c>
      <x:c r="I15" s="3" t="str">
        <x:v>https://people.mpi-sws.org/~antoinek/documents/20osdi_clockwork.pdf</x:v>
      </x:c>
      <x:c r="J15" s="3" t="str">
        <x:v>AI assistant under Raazia direction</x:v>
      </x:c>
      <x:c r="K15" s="3" t="d">
        <x:v>2026-10-21T09:43:49.697Z</x:v>
      </x:c>
      <x:c r="L15" s="3" t="str"/>
    </x:row>
    <x:row r="16" ht="80" customHeight="1">
      <x:c r="A16" s="3" t="str">
        <x:v>P009</x:v>
      </x:c>
      <x:c r="B16" s="3" t="str">
        <x:v>Q5</x:v>
      </x:c>
      <x:c r="C16" s="6" t="n">
        <x:v>1</x:v>
      </x:c>
      <x:c r="D16" s="6" t="n">
        <x:v>1</x:v>
      </x:c>
      <x:c r="E16" s="6" t="n">
        <x:v>2</x:v>
      </x:c>
      <x:c r="F16" s="3" t="str">
        <x:v>Source appraisal completed</x:v>
      </x:c>
      <x:c r="G16" s="3" t="str">
        <x:v>INFaaS uses different EC2 machines; authors restrict that contrast to qualitative interpretation.</x:v>
      </x:c>
      <x:c r="H16" s="3" t="str">
        <x:v>PDF p10; printed p451; section6.1</x:v>
      </x:c>
      <x:c r="I16" s="3" t="str">
        <x:v>https://people.mpi-sws.org/~antoinek/documents/20osdi_clockwork.pdf</x:v>
      </x:c>
      <x:c r="J16" s="3" t="str">
        <x:v>AI assistant under Raazia direction</x:v>
      </x:c>
      <x:c r="K16" s="3" t="d">
        <x:v>2026-10-21T09:43:49.697Z</x:v>
      </x:c>
      <x:c r="L16" s="3" t="str"/>
    </x:row>
    <x:row r="17" ht="80" customHeight="1">
      <x:c r="A17" s="3" t="str">
        <x:v>P009</x:v>
      </x:c>
      <x:c r="B17" s="3" t="str">
        <x:v>Q6</x:v>
      </x:c>
      <x:c r="C17" s="6" t="n">
        <x:v>2</x:v>
      </x:c>
      <x:c r="D17" s="6" t="n">
        <x:v>2</x:v>
      </x:c>
      <x:c r="E17" s="6" t="n">
        <x:v>2</x:v>
      </x:c>
      <x:c r="F17" s="3" t="str">
        <x:v>Source appraisal completed</x:v>
      </x:c>
      <x:c r="G17" s="3" t="str">
        <x:v>Goodput counts successful requests within their deadline and excludes late requests.</x:v>
      </x:c>
      <x:c r="H17" s="3" t="str">
        <x:v>PDF p11; printed p452; section6.1</x:v>
      </x:c>
      <x:c r="I17" s="3" t="str">
        <x:v>https://people.mpi-sws.org/~antoinek/documents/20osdi_clockwork.pdf</x:v>
      </x:c>
      <x:c r="J17" s="3" t="str">
        <x:v>AI assistant under Raazia direction</x:v>
      </x:c>
      <x:c r="K17" s="3" t="d">
        <x:v>2026-10-21T09:43:49.697Z</x:v>
      </x:c>
      <x:c r="L17" s="3" t="str"/>
    </x:row>
    <x:row r="18" ht="80" customHeight="1">
      <x:c r="A18" s="3" t="str">
        <x:v>P009</x:v>
      </x:c>
      <x:c r="B18" s="3" t="str">
        <x:v>Q7</x:v>
      </x:c>
      <x:c r="C18" s="6" t="n">
        <x:v>2</x:v>
      </x:c>
      <x:c r="D18" s="6" t="n">
        <x:v>2</x:v>
      </x:c>
      <x:c r="E18" s="6" t="n">
        <x:v>2</x:v>
      </x:c>
      <x:c r="F18" s="3" t="str">
        <x:v>Source appraisal completed</x:v>
      </x:c>
      <x:c r="G18" s="3" t="str">
        <x:v>SLO range, closed-loop load, latency CDF and batch scheduling explanation are explicit.</x:v>
      </x:c>
      <x:c r="H18" s="3" t="str">
        <x:v>PDF pp10-11; Figure5; section6.1</x:v>
      </x:c>
      <x:c r="I18" s="3" t="str">
        <x:v>https://people.mpi-sws.org/~antoinek/documents/20osdi_clockwork.pdf</x:v>
      </x:c>
      <x:c r="J18" s="3" t="str">
        <x:v>AI assistant under Raazia direction</x:v>
      </x:c>
      <x:c r="K18" s="3" t="d">
        <x:v>2026-10-21T09:43:49.697Z</x:v>
      </x:c>
      <x:c r="L18" s="3" t="str"/>
    </x:row>
    <x:row r="19" ht="80" customHeight="1">
      <x:c r="A19" s="3" t="str">
        <x:v>P009</x:v>
      </x:c>
      <x:c r="B19" s="3" t="str">
        <x:v>Q8</x:v>
      </x:c>
      <x:c r="C19" s="6" t="n">
        <x:v>2</x:v>
      </x:c>
      <x:c r="D19" s="6" t="n">
        <x:v>2</x:v>
      </x:c>
      <x:c r="E19" s="6" t="n">
        <x:v>2</x:v>
      </x:c>
      <x:c r="F19" s="3" t="str">
        <x:v>Source appraisal completed</x:v>
      </x:c>
      <x:c r="G19" s="3" t="str">
        <x:v>Concurrent model demand and a protected minor workload tested.</x:v>
      </x:c>
      <x:c r="H19" s="3" t="str">
        <x:v>PDF pp10-12; sections6.1-6.3; Figures5-7</x:v>
      </x:c>
      <x:c r="I19" s="3" t="str">
        <x:v>https://people.mpi-sws.org/~antoinek/documents/20osdi_clockwork.pdf</x:v>
      </x:c>
      <x:c r="J19" s="3" t="str">
        <x:v>AI assistant under Raazia direction</x:v>
      </x:c>
      <x:c r="K19" s="3" t="d">
        <x:v>2026-10-21T09:43:49.697Z</x:v>
      </x:c>
      <x:c r="L19" s="3" t="str"/>
    </x:row>
    <x:row r="20" ht="80" customHeight="1">
      <x:c r="A20" s="3" t="str">
        <x:v>P009</x:v>
      </x:c>
      <x:c r="B20" s="3" t="str">
        <x:v>Q9</x:v>
      </x:c>
      <x:c r="C20" s="6" t="n">
        <x:v>1</x:v>
      </x:c>
      <x:c r="D20" s="6" t="n">
        <x:v>2</x:v>
      </x:c>
      <x:c r="E20" s="6" t="n">
        <x:v>2</x:v>
      </x:c>
      <x:c r="F20" s="3" t="str">
        <x:v>Source appraisal completed</x:v>
      </x:c>
      <x:c r="G20" s="3" t="str">
        <x:v>Performance-isolation boundary is measured; dedicated-worker assumptions and security exclusions are explicit.</x:v>
      </x:c>
      <x:c r="H20" s="3" t="str">
        <x:v>PDF pp11-12,14-15; sections6.2,7</x:v>
      </x:c>
      <x:c r="I20" s="3" t="str">
        <x:v>https://people.mpi-sws.org/~antoinek/documents/20osdi_clockwork.pdf</x:v>
      </x:c>
      <x:c r="J20" s="3" t="str">
        <x:v>AI assistant under Raazia direction</x:v>
      </x:c>
      <x:c r="K20" s="3" t="d">
        <x:v>2026-10-21T09:43:49.697Z</x:v>
      </x:c>
      <x:c r="L20" s="3" t="str"/>
    </x:row>
    <x:row r="21" ht="80" customHeight="1">
      <x:c r="A21" s="3" t="str">
        <x:v>P009</x:v>
      </x:c>
      <x:c r="B21" s="3" t="str">
        <x:v>Q10</x:v>
      </x:c>
      <x:c r="C21" s="6" t="n">
        <x:v>2</x:v>
      </x:c>
      <x:c r="D21" s="6" t="n">
        <x:v>2</x:v>
      </x:c>
      <x:c r="E21" s="6" t="n">
        <x:v>2</x:v>
      </x:c>
      <x:c r="F21" s="3" t="str">
        <x:v>Source appraisal completed</x:v>
      </x:c>
      <x:c r="G21" s="3" t="str">
        <x:v>Runtime, scheduling, model details and limitations support informed implementation appraisal; no local reproduction claimed.</x:v>
      </x:c>
      <x:c r="H21" s="3" t="str">
        <x:v>PDF pp7-10,14-15; sections5,7</x:v>
      </x:c>
      <x:c r="I21" s="3" t="str">
        <x:v>https://people.mpi-sws.org/~antoinek/documents/20osdi_clockwork.pdf</x:v>
      </x:c>
      <x:c r="J21" s="3" t="str">
        <x:v>AI assistant under Raazia direction</x:v>
      </x:c>
      <x:c r="K21" s="3" t="d">
        <x:v>2026-10-21T09:43:49.697Z</x:v>
      </x:c>
      <x:c r="L21" s="3" t="str"/>
    </x:row>
    <x:row r="22" ht="80" customHeight="1">
      <x:c r="A22" s="3" t="str">
        <x:v>P010</x:v>
      </x:c>
      <x:c r="B22" s="3" t="str">
        <x:v>Q1</x:v>
      </x:c>
      <x:c r="C22" s="6" t="n">
        <x:v>2</x:v>
      </x:c>
      <x:c r="D22" s="6" t="n">
        <x:v>2</x:v>
      </x:c>
      <x:c r="E22" s="6" t="n">
        <x:v>2</x:v>
      </x:c>
      <x:c r="F22" s="3" t="str">
        <x:v>Source appraisal completed</x:v>
      </x:c>
      <x:c r="G22" s="3" t="str">
        <x:v>Inference-priority co-location objective and training progress goal explicit.</x:v>
      </x:c>
      <x:c r="H22" s="3" t="str">
        <x:v>PDF p2; printed p1657; abstract/introduction</x:v>
      </x:c>
      <x:c r="I22" s="3" t="str">
        <x:v>https://www.usenix.org/system/files/atc25-wang-jiali.pdf</x:v>
      </x:c>
      <x:c r="J22" s="3" t="str">
        <x:v>AI assistant under Raazia direction</x:v>
      </x:c>
      <x:c r="K22" s="3" t="d">
        <x:v>2026-10-21T09:43:49.697Z</x:v>
      </x:c>
      <x:c r="L22" s="3" t="str"/>
    </x:row>
    <x:row r="23" ht="80" customHeight="1">
      <x:c r="A23" s="3" t="str">
        <x:v>P010</x:v>
      </x:c>
      <x:c r="B23" s="3" t="str">
        <x:v>Q2</x:v>
      </x:c>
      <x:c r="C23" s="6" t="n">
        <x:v>2</x:v>
      </x:c>
      <x:c r="D23" s="6" t="n">
        <x:v>2</x:v>
      </x:c>
      <x:c r="E23" s="6" t="n">
        <x:v>2</x:v>
      </x:c>
      <x:c r="F23" s="3" t="str">
        <x:v>Source appraisal completed</x:v>
      </x:c>
      <x:c r="G23" s="3" t="str">
        <x:v>VMM pool, handover, memory mapping and SM allocation described.</x:v>
      </x:c>
      <x:c r="H23" s="3" t="str">
        <x:v>PDF pp5-10; sections3-5</x:v>
      </x:c>
      <x:c r="I23" s="3" t="str">
        <x:v>https://www.usenix.org/system/files/atc25-wang-jiali.pdf</x:v>
      </x:c>
      <x:c r="J23" s="3" t="str">
        <x:v>AI assistant under Raazia direction</x:v>
      </x:c>
      <x:c r="K23" s="3" t="d">
        <x:v>2026-10-21T09:43:49.697Z</x:v>
      </x:c>
      <x:c r="L23" s="3" t="str"/>
    </x:row>
    <x:row r="24" ht="80" customHeight="1">
      <x:c r="A24" s="3" t="str">
        <x:v>P010</x:v>
      </x:c>
      <x:c r="B24" s="3" t="str">
        <x:v>Q3</x:v>
      </x:c>
      <x:c r="C24" s="6" t="n">
        <x:v>1</x:v>
      </x:c>
      <x:c r="D24" s="6" t="n">
        <x:v>1</x:v>
      </x:c>
      <x:c r="E24" s="6" t="n">
        <x:v>2</x:v>
      </x:c>
      <x:c r="F24" s="3" t="str">
        <x:v>Source appraisal completed</x:v>
      </x:c>
      <x:c r="G24" s="3" t="str">
        <x:v>Trace distributions and 300-second window specified; repeated-run uncertainty not specified for Figure10.</x:v>
      </x:c>
      <x:c r="H24" s="3" t="str">
        <x:v>PDF pp10-11; section6; Figure10</x:v>
      </x:c>
      <x:c r="I24" s="3" t="str">
        <x:v>https://www.usenix.org/system/files/atc25-wang-jiali.pdf</x:v>
      </x:c>
      <x:c r="J24" s="3" t="str">
        <x:v>AI assistant under Raazia direction</x:v>
      </x:c>
      <x:c r="K24" s="3" t="d">
        <x:v>2026-10-21T09:43:49.697Z</x:v>
      </x:c>
      <x:c r="L24" s="3" t="str"/>
    </x:row>
    <x:row r="25" ht="80" customHeight="1">
      <x:c r="A25" s="3" t="str">
        <x:v>P010</x:v>
      </x:c>
      <x:c r="B25" s="3" t="str">
        <x:v>Q4</x:v>
      </x:c>
      <x:c r="C25" s="6" t="n">
        <x:v>2</x:v>
      </x:c>
      <x:c r="D25" s="6" t="n">
        <x:v>2</x:v>
      </x:c>
      <x:c r="E25" s="6" t="n">
        <x:v>2</x:v>
      </x:c>
      <x:c r="F25" s="3" t="str">
        <x:v>Source appraisal completed</x:v>
      </x:c>
      <x:c r="G25" s="3" t="str">
        <x:v>V100/A100 cases, CPU/RAM, software versions and model/batch table supplied.</x:v>
      </x:c>
      <x:c r="H25" s="3" t="str">
        <x:v>PDF pp10-11,14; Table3; sections6,6.6</x:v>
      </x:c>
      <x:c r="I25" s="3" t="str">
        <x:v>https://www.usenix.org/system/files/atc25-wang-jiali.pdf</x:v>
      </x:c>
      <x:c r="J25" s="3" t="str">
        <x:v>AI assistant under Raazia direction</x:v>
      </x:c>
      <x:c r="K25" s="3" t="d">
        <x:v>2026-10-21T09:43:49.697Z</x:v>
      </x:c>
      <x:c r="L25" s="3" t="str"/>
    </x:row>
    <x:row r="26" ht="80" customHeight="1">
      <x:c r="A26" s="3" t="str">
        <x:v>P010</x:v>
      </x:c>
      <x:c r="B26" s="3" t="str">
        <x:v>Q5</x:v>
      </x:c>
      <x:c r="C26" s="6" t="n">
        <x:v>1</x:v>
      </x:c>
      <x:c r="D26" s="6" t="n">
        <x:v>1</x:v>
      </x:c>
      <x:c r="E26" s="6" t="n">
        <x:v>2</x:v>
      </x:c>
      <x:c r="F26" s="3" t="str">
        <x:v>Source appraisal completed</x:v>
      </x:c>
      <x:c r="G26" s="3" t="str">
        <x:v>TaskSwitch is an adapted implementation; equivalence to unmodified PipeSwitch is not established.</x:v>
      </x:c>
      <x:c r="H26" s="3" t="str">
        <x:v>PDF p10; comparing targets</x:v>
      </x:c>
      <x:c r="I26" s="3" t="str">
        <x:v>https://www.usenix.org/system/files/atc25-wang-jiali.pdf</x:v>
      </x:c>
      <x:c r="J26" s="3" t="str">
        <x:v>AI assistant under Raazia direction</x:v>
      </x:c>
      <x:c r="K26" s="3" t="d">
        <x:v>2026-10-21T09:43:49.697Z</x:v>
      </x:c>
      <x:c r="L26" s="3" t="str"/>
    </x:row>
    <x:row r="27" ht="80" customHeight="1">
      <x:c r="A27" s="3" t="str">
        <x:v>P010</x:v>
      </x:c>
      <x:c r="B27" s="3" t="str">
        <x:v>Q6</x:v>
      </x:c>
      <x:c r="C27" s="6" t="n">
        <x:v>2</x:v>
      </x:c>
      <x:c r="D27" s="6" t="n">
        <x:v>2</x:v>
      </x:c>
      <x:c r="E27" s="6" t="n">
        <x:v>2</x:v>
      </x:c>
      <x:c r="F27" s="3" t="str">
        <x:v>Source appraisal completed</x:v>
      </x:c>
      <x:c r="G27" s="3" t="str">
        <x:v>Training samples/second and inference SLO compliance are defined separately.</x:v>
      </x:c>
      <x:c r="H27" s="3" t="str">
        <x:v>PDF p11; metrics; Figure10</x:v>
      </x:c>
      <x:c r="I27" s="3" t="str">
        <x:v>https://www.usenix.org/system/files/atc25-wang-jiali.pdf</x:v>
      </x:c>
      <x:c r="J27" s="3" t="str">
        <x:v>AI assistant under Raazia direction</x:v>
      </x:c>
      <x:c r="K27" s="3" t="d">
        <x:v>2026-10-21T09:43:49.697Z</x:v>
      </x:c>
      <x:c r="L27" s="3" t="str"/>
    </x:row>
    <x:row r="28" ht="80" customHeight="1">
      <x:c r="A28" s="3" t="str">
        <x:v>P010</x:v>
      </x:c>
      <x:c r="B28" s="3" t="str">
        <x:v>Q7</x:v>
      </x:c>
      <x:c r="C28" s="6" t="n">
        <x:v>2</x:v>
      </x:c>
      <x:c r="D28" s="6" t="n">
        <x:v>2</x:v>
      </x:c>
      <x:c r="E28" s="6" t="n">
        <x:v>2</x:v>
      </x:c>
      <x:c r="F28" s="3" t="str">
        <x:v>Source appraisal completed</x:v>
      </x:c>
      <x:c r="G28" s="3" t="str">
        <x:v>P99, arrivals, duration and four-times-solo SLO definition stated.</x:v>
      </x:c>
      <x:c r="H28" s="3" t="str">
        <x:v>PDF p11; section6.1</x:v>
      </x:c>
      <x:c r="I28" s="3" t="str">
        <x:v>https://www.usenix.org/system/files/atc25-wang-jiali.pdf</x:v>
      </x:c>
      <x:c r="J28" s="3" t="str">
        <x:v>AI assistant under Raazia direction</x:v>
      </x:c>
      <x:c r="K28" s="3" t="d">
        <x:v>2026-10-21T09:43:49.697Z</x:v>
      </x:c>
      <x:c r="L28" s="3" t="str"/>
    </x:row>
    <x:row r="29" ht="80" customHeight="1">
      <x:c r="A29" s="3" t="str">
        <x:v>P010</x:v>
      </x:c>
      <x:c r="B29" s="3" t="str">
        <x:v>Q8</x:v>
      </x:c>
      <x:c r="C29" s="6" t="n">
        <x:v>2</x:v>
      </x:c>
      <x:c r="D29" s="6" t="n">
        <x:v>2</x:v>
      </x:c>
      <x:c r="E29" s="6" t="n">
        <x:v>2</x:v>
      </x:c>
      <x:c r="F29" s="3" t="str">
        <x:v>Source appraisal completed</x:v>
      </x:c>
      <x:c r="G29" s="3" t="str">
        <x:v>Inference plus Swin-T training co-location evaluated on a single GPU.</x:v>
      </x:c>
      <x:c r="H29" s="3" t="str">
        <x:v>PDF p11; Figure10</x:v>
      </x:c>
      <x:c r="I29" s="3" t="str">
        <x:v>https://www.usenix.org/system/files/atc25-wang-jiali.pdf</x:v>
      </x:c>
      <x:c r="J29" s="3" t="str">
        <x:v>AI assistant under Raazia direction</x:v>
      </x:c>
      <x:c r="K29" s="3" t="d">
        <x:v>2026-10-21T09:43:49.697Z</x:v>
      </x:c>
      <x:c r="L29" s="3" t="str"/>
    </x:row>
    <x:row r="30" ht="80" customHeight="1">
      <x:c r="A30" s="3" t="str">
        <x:v>P010</x:v>
      </x:c>
      <x:c r="B30" s="3" t="str">
        <x:v>Q9</x:v>
      </x:c>
      <x:c r="C30" s="6" t="n">
        <x:v>1</x:v>
      </x:c>
      <x:c r="D30" s="6" t="n">
        <x:v>1</x:v>
      </x:c>
      <x:c r="E30" s="6" t="n">
        <x:v>2</x:v>
      </x:c>
      <x:c r="F30" s="3" t="str">
        <x:v>Source appraisal completed</x:v>
      </x:c>
      <x:c r="G30" s="3" t="str">
        <x:v>Handover correctness and priority boundary described; direct fault-injection validation not established.</x:v>
      </x:c>
      <x:c r="H30" s="3" t="str">
        <x:v>PDF pp6-10; sections4-5</x:v>
      </x:c>
      <x:c r="I30" s="3" t="str">
        <x:v>https://www.usenix.org/system/files/atc25-wang-jiali.pdf</x:v>
      </x:c>
      <x:c r="J30" s="3" t="str">
        <x:v>AI assistant under Raazia direction</x:v>
      </x:c>
      <x:c r="K30" s="3" t="d">
        <x:v>2026-10-21T09:43:49.697Z</x:v>
      </x:c>
      <x:c r="L30" s="3" t="str"/>
    </x:row>
    <x:row r="31" ht="80" customHeight="1">
      <x:c r="A31" s="3" t="str">
        <x:v>P010</x:v>
      </x:c>
      <x:c r="B31" s="3" t="str">
        <x:v>Q10</x:v>
      </x:c>
      <x:c r="C31" s="6" t="n">
        <x:v>2</x:v>
      </x:c>
      <x:c r="D31" s="6" t="n">
        <x:v>2</x:v>
      </x:c>
      <x:c r="E31" s="6" t="n">
        <x:v>2</x:v>
      </x:c>
      <x:c r="F31" s="3" t="str">
        <x:v>Source appraisal completed</x:v>
      </x:c>
      <x:c r="G31" s="3" t="str">
        <x:v>Artifact appendix reports availability, functionality and reproduction badges with artifact DOI.</x:v>
      </x:c>
      <x:c r="H31" s="3" t="str">
        <x:v>PDF p20; artifact appendix; DOI10.5281/zenodo.15581800</x:v>
      </x:c>
      <x:c r="I31" s="3" t="str">
        <x:v>https://www.usenix.org/system/files/atc25-wang-jiali.pdf</x:v>
      </x:c>
      <x:c r="J31" s="3" t="str">
        <x:v>AI assistant under Raazia direction</x:v>
      </x:c>
      <x:c r="K31" s="3" t="d">
        <x:v>2026-10-21T09:43:49.697Z</x:v>
      </x:c>
      <x:c r="L31" s="3" t="str"/>
    </x:row>
    <x:row r="32" ht="80" customHeight="1">
      <x:c r="A32" s="3" t="str">
        <x:v>P011</x:v>
      </x:c>
      <x:c r="B32" s="3" t="str">
        <x:v>Q1</x:v>
      </x:c>
      <x:c r="C32" s="6" t="n">
        <x:v>2</x:v>
      </x:c>
      <x:c r="D32" s="6" t="n">
        <x:v>2</x:v>
      </x:c>
      <x:c r="E32" s="6" t="n">
        <x:v>2</x:v>
      </x:c>
      <x:c r="F32" s="3" t="str">
        <x:v>Source appraisal completed</x:v>
      </x:c>
      <x:c r="G32" s="3" t="str">
        <x:v>SLO-constrained inference resource objective explicit.</x:v>
      </x:c>
      <x:c r="H32" s="3" t="str">
        <x:v>arXiv v1 PDF pp1-2</x:v>
      </x:c>
      <x:c r="I32" s="3" t="str">
        <x:v>https://arxiv.org/pdf/2409.14447</x:v>
      </x:c>
      <x:c r="J32" s="3" t="str">
        <x:v>AI assistant under Raazia direction</x:v>
      </x:c>
      <x:c r="K32" s="3" t="d">
        <x:v>2026-10-21T09:43:49.697Z</x:v>
      </x:c>
      <x:c r="L32" s="3" t="str"/>
    </x:row>
    <x:row r="33" ht="80" customHeight="1">
      <x:c r="A33" s="3" t="str">
        <x:v>P011</x:v>
      </x:c>
      <x:c r="B33" s="3" t="str">
        <x:v>Q2</x:v>
      </x:c>
      <x:c r="C33" s="6" t="n">
        <x:v>2</x:v>
      </x:c>
      <x:c r="D33" s="6" t="n">
        <x:v>2</x:v>
      </x:c>
      <x:c r="E33" s="6" t="n">
        <x:v>2</x:v>
      </x:c>
      <x:c r="F33" s="3" t="str">
        <x:v>Source appraisal completed</x:v>
      </x:c>
      <x:c r="G33" s="3" t="str">
        <x:v>MIG/MPS profiling, segment configuration and allocation algorithms described.</x:v>
      </x:c>
      <x:c r="H33" s="3" t="str">
        <x:v>arXiv v1 PDF pp4-8; sectionIII</x:v>
      </x:c>
      <x:c r="I33" s="3" t="str">
        <x:v>https://arxiv.org/pdf/2409.14447</x:v>
      </x:c>
      <x:c r="J33" s="3" t="str">
        <x:v>AI assistant under Raazia direction</x:v>
      </x:c>
      <x:c r="K33" s="3" t="d">
        <x:v>2026-10-21T09:43:49.697Z</x:v>
      </x:c>
      <x:c r="L33" s="3" t="str"/>
    </x:row>
    <x:row r="34" ht="80" customHeight="1">
      <x:c r="A34" s="3" t="str">
        <x:v>P011</x:v>
      </x:c>
      <x:c r="B34" s="3" t="str">
        <x:v>Q3</x:v>
      </x:c>
      <x:c r="C34" s="6" t="n">
        <x:v>1</x:v>
      </x:c>
      <x:c r="D34" s="6" t="n">
        <x:v>1</x:v>
      </x:c>
      <x:c r="E34" s="6" t="n">
        <x:v>2</x:v>
      </x:c>
      <x:c r="F34" s="3" t="str">
        <x:v>Source appraisal completed</x:v>
      </x:c>
      <x:c r="G34" s="3" t="str">
        <x:v>Profiler and six scenarios specified; repeated-run uncertainty not established.</x:v>
      </x:c>
      <x:c r="H34" s="3" t="str">
        <x:v>arXiv v1 PDF pp5,8-10; sectionsIII-C,IV</x:v>
      </x:c>
      <x:c r="I34" s="3" t="str">
        <x:v>https://arxiv.org/pdf/2409.14447</x:v>
      </x:c>
      <x:c r="J34" s="3" t="str">
        <x:v>AI assistant under Raazia direction</x:v>
      </x:c>
      <x:c r="K34" s="3" t="d">
        <x:v>2026-10-21T09:43:49.697Z</x:v>
      </x:c>
      <x:c r="L34" s="3" t="str"/>
    </x:row>
    <x:row r="35" ht="80" customHeight="1">
      <x:c r="A35" s="3" t="str">
        <x:v>P011</x:v>
      </x:c>
      <x:c r="B35" s="3" t="str">
        <x:v>Q4</x:v>
      </x:c>
      <x:c r="C35" s="6" t="n">
        <x:v>1</x:v>
      </x:c>
      <x:c r="D35" s="6" t="n">
        <x:v>1</x:v>
      </x:c>
      <x:c r="E35" s="6" t="n">
        <x:v>2</x:v>
      </x:c>
      <x:c r="F35" s="3" t="str">
        <x:v>Source appraisal completed</x:v>
      </x:c>
      <x:c r="G35" s="3" t="str">
        <x:v>A100, Ubuntu and CUDA reported; printed PyTorch1.14.0 string is an unresolved environment ambiguity.</x:v>
      </x:c>
      <x:c r="H35" s="3" t="str">
        <x:v>arXiv v1 PDF p8; sectionIV-A</x:v>
      </x:c>
      <x:c r="I35" s="3" t="str">
        <x:v>https://arxiv.org/pdf/2409.14447</x:v>
      </x:c>
      <x:c r="J35" s="3" t="str">
        <x:v>AI assistant under Raazia direction</x:v>
      </x:c>
      <x:c r="K35" s="3" t="d">
        <x:v>2026-10-21T09:43:49.697Z</x:v>
      </x:c>
      <x:c r="L35" s="3" t="str"/>
    </x:row>
    <x:row r="36" ht="80" customHeight="1">
      <x:c r="A36" s="3" t="str">
        <x:v>P011</x:v>
      </x:c>
      <x:c r="B36" s="3" t="str">
        <x:v>Q5</x:v>
      </x:c>
      <x:c r="C36" s="6" t="n">
        <x:v>1</x:v>
      </x:c>
      <x:c r="D36" s="6" t="n">
        <x:v>1</x:v>
      </x:c>
      <x:c r="E36" s="6" t="n">
        <x:v>2</x:v>
      </x:c>
      <x:c r="F36" s="3" t="str">
        <x:v>Source appraisal completed</x:v>
      </x:c>
      <x:c r="G36" s="3" t="str">
        <x:v>Local process-count contrast interpretable; fleet baseline variants and manuscript scope constrain comparison.</x:v>
      </x:c>
      <x:c r="H36" s="3" t="str">
        <x:v>arXiv v1 PDF pp5,8; sectionsIII-B,IV-A</x:v>
      </x:c>
      <x:c r="I36" s="3" t="str">
        <x:v>https://arxiv.org/pdf/2409.14447</x:v>
      </x:c>
      <x:c r="J36" s="3" t="str">
        <x:v>AI assistant under Raazia direction</x:v>
      </x:c>
      <x:c r="K36" s="3" t="d">
        <x:v>2026-10-21T09:43:49.697Z</x:v>
      </x:c>
      <x:c r="L36" s="3" t="str"/>
    </x:row>
    <x:row r="37" ht="80" customHeight="1">
      <x:c r="A37" s="3" t="str">
        <x:v>P011</x:v>
      </x:c>
      <x:c r="B37" s="3" t="str">
        <x:v>Q6</x:v>
      </x:c>
      <x:c r="C37" s="6" t="n">
        <x:v>2</x:v>
      </x:c>
      <x:c r="D37" s="6" t="n">
        <x:v>2</x:v>
      </x:c>
      <x:c r="E37" s="6" t="n">
        <x:v>2</x:v>
      </x:c>
      <x:c r="F37" s="3" t="str">
        <x:v>Source appraisal completed</x:v>
      </x:c>
      <x:c r="G37" s="3" t="str">
        <x:v>Local throughput values and metric units given.</x:v>
      </x:c>
      <x:c r="H37" s="3" t="str">
        <x:v>arXiv v1 PDF pp4-5; Figure3; sectionIII-B</x:v>
      </x:c>
      <x:c r="I37" s="3" t="str">
        <x:v>https://arxiv.org/pdf/2409.14447</x:v>
      </x:c>
      <x:c r="J37" s="3" t="str">
        <x:v>AI assistant under Raazia direction</x:v>
      </x:c>
      <x:c r="K37" s="3" t="d">
        <x:v>2026-10-21T09:43:49.697Z</x:v>
      </x:c>
      <x:c r="L37" s="3" t="str"/>
    </x:row>
    <x:row r="38" ht="80" customHeight="1">
      <x:c r="A38" s="3" t="str">
        <x:v>P011</x:v>
      </x:c>
      <x:c r="B38" s="3" t="str">
        <x:v>Q7</x:v>
      </x:c>
      <x:c r="C38" s="6" t="n">
        <x:v>1</x:v>
      </x:c>
      <x:c r="D38" s="6" t="n">
        <x:v>1</x:v>
      </x:c>
      <x:c r="E38" s="6" t="n">
        <x:v>2</x:v>
      </x:c>
      <x:c r="F38" s="3" t="str">
        <x:v>Source appraisal completed</x:v>
      </x:c>
      <x:c r="G38" s="3" t="str">
        <x:v>Local latency values given without a named tail quantile.</x:v>
      </x:c>
      <x:c r="H38" s="3" t="str">
        <x:v>arXiv v1 PDF pp4-5; Figure4; sectionIII-B</x:v>
      </x:c>
      <x:c r="I38" s="3" t="str">
        <x:v>https://arxiv.org/pdf/2409.14447</x:v>
      </x:c>
      <x:c r="J38" s="3" t="str">
        <x:v>AI assistant under Raazia direction</x:v>
      </x:c>
      <x:c r="K38" s="3" t="d">
        <x:v>2026-10-21T09:43:49.697Z</x:v>
      </x:c>
      <x:c r="L38" s="3" t="str"/>
    </x:row>
    <x:row r="39" ht="80" customHeight="1">
      <x:c r="A39" s="3" t="str">
        <x:v>P011</x:v>
      </x:c>
      <x:c r="B39" s="3" t="str">
        <x:v>Q8</x:v>
      </x:c>
      <x:c r="C39" s="6" t="n">
        <x:v>2</x:v>
      </x:c>
      <x:c r="D39" s="6" t="n">
        <x:v>2</x:v>
      </x:c>
      <x:c r="E39" s="6" t="n">
        <x:v>2</x:v>
      </x:c>
      <x:c r="F39" s="3" t="str">
        <x:v>Source appraisal completed</x:v>
      </x:c>
      <x:c r="G39" s="3" t="str">
        <x:v>One-to-three MPS processes measured inside a MIG segment.</x:v>
      </x:c>
      <x:c r="H39" s="3" t="str">
        <x:v>arXiv v1 PDF pp4-5; Figures3-4</x:v>
      </x:c>
      <x:c r="I39" s="3" t="str">
        <x:v>https://arxiv.org/pdf/2409.14447</x:v>
      </x:c>
      <x:c r="J39" s="3" t="str">
        <x:v>AI assistant under Raazia direction</x:v>
      </x:c>
      <x:c r="K39" s="3" t="d">
        <x:v>2026-10-21T09:43:49.697Z</x:v>
      </x:c>
      <x:c r="L39" s="3" t="str"/>
    </x:row>
    <x:row r="40" ht="80" customHeight="1">
      <x:c r="A40" s="3" t="str">
        <x:v>P011</x:v>
      </x:c>
      <x:c r="B40" s="3" t="str">
        <x:v>Q9</x:v>
      </x:c>
      <x:c r="C40" s="6" t="n">
        <x:v>1</x:v>
      </x:c>
      <x:c r="D40" s="6" t="n">
        <x:v>1</x:v>
      </x:c>
      <x:c r="E40" s="6" t="n">
        <x:v>2</x:v>
      </x:c>
      <x:c r="F40" s="3" t="str">
        <x:v>Source appraisal completed</x:v>
      </x:c>
      <x:c r="G40" s="3" t="str">
        <x:v>MIG/MPS boundary described; no dedicated fault or adversarial experiment established in reviewed manuscript.</x:v>
      </x:c>
      <x:c r="H40" s="3" t="str">
        <x:v>arXiv v1 PDF pp2-4,8-10</x:v>
      </x:c>
      <x:c r="I40" s="3" t="str">
        <x:v>https://arxiv.org/pdf/2409.14447</x:v>
      </x:c>
      <x:c r="J40" s="3" t="str">
        <x:v>AI assistant under Raazia direction</x:v>
      </x:c>
      <x:c r="K40" s="3" t="d">
        <x:v>2026-10-21T09:43:49.697Z</x:v>
      </x:c>
      <x:c r="L40" s="3" t="str"/>
    </x:row>
    <x:row r="41" ht="80" customHeight="1">
      <x:c r="A41" s="3" t="str">
        <x:v>P011</x:v>
      </x:c>
      <x:c r="B41" s="3" t="str">
        <x:v>Q10</x:v>
      </x:c>
      <x:c r="C41" s="6" t="n">
        <x:v>1</x:v>
      </x:c>
      <x:c r="D41" s="6" t="n">
        <x:v>1</x:v>
      </x:c>
      <x:c r="E41" s="6" t="n">
        <x:v>2</x:v>
      </x:c>
      <x:c r="F41" s="3" t="str">
        <x:v>Source appraisal completed</x:v>
      </x:c>
      <x:c r="G41" s="3" t="str">
        <x:v>Algorithms and reconfiguration limitation described; accessed manuscript has no verified final-version equivalence.</x:v>
      </x:c>
      <x:c r="H41" s="3" t="str">
        <x:v>arXiv v1 PDF pp5-10; sectionIII-F; source/version record</x:v>
      </x:c>
      <x:c r="I41" s="3" t="str">
        <x:v>https://arxiv.org/pdf/2409.14447</x:v>
      </x:c>
      <x:c r="J41" s="3" t="str">
        <x:v>AI assistant under Raazia direction</x:v>
      </x:c>
      <x:c r="K41" s="3" t="d">
        <x:v>2026-10-21T09:43:49.697Z</x:v>
      </x:c>
      <x:c r="L41" s="3" t="str"/>
    </x:row>
    <x:row r="42" ht="80" customHeight="1">
      <x:c r="A42" s="3" t="str">
        <x:v>P012</x:v>
      </x:c>
      <x:c r="B42" s="3" t="str">
        <x:v>Q1</x:v>
      </x:c>
      <x:c r="C42" s="6" t="n">
        <x:v>2</x:v>
      </x:c>
      <x:c r="D42" s="6" t="n">
        <x:v>2</x:v>
      </x:c>
      <x:c r="E42" s="6" t="n">
        <x:v>2</x:v>
      </x:c>
      <x:c r="F42" s="3" t="str">
        <x:v>Source appraisal completed</x:v>
      </x:c>
      <x:c r="G42" s="3" t="str">
        <x:v>Low-frequency serverless inference density and latency objectives explicit.</x:v>
      </x:c>
      <x:c r="H42" s="3" t="str">
        <x:v>PDF p2; printed p597; section1</x:v>
      </x:c>
      <x:c r="I42" s="3" t="str">
        <x:v>https://www.usenix.org/system/files/atc25-yu.pdf</x:v>
      </x:c>
      <x:c r="J42" s="3" t="str">
        <x:v>AI assistant under Raazia direction</x:v>
      </x:c>
      <x:c r="K42" s="3" t="d">
        <x:v>2026-10-21T09:43:49.697Z</x:v>
      </x:c>
      <x:c r="L42" s="3" t="str"/>
    </x:row>
    <x:row r="43" ht="80" customHeight="1">
      <x:c r="A43" s="3" t="str">
        <x:v>P012</x:v>
      </x:c>
      <x:c r="B43" s="3" t="str">
        <x:v>Q2</x:v>
      </x:c>
      <x:c r="C43" s="6" t="n">
        <x:v>2</x:v>
      </x:c>
      <x:c r="D43" s="6" t="n">
        <x:v>2</x:v>
      </x:c>
      <x:c r="E43" s="6" t="n">
        <x:v>2</x:v>
      </x:c>
      <x:c r="F43" s="3" t="str">
        <x:v>Source appraisal completed</x:v>
      </x:c>
      <x:c r="G43" s="3" t="str">
        <x:v>Remoting, swapping, memory manager, scheduler and two runtime modes described.</x:v>
      </x:c>
      <x:c r="H43" s="3" t="str">
        <x:v>PDF pp5-9; sections4-6</x:v>
      </x:c>
      <x:c r="I43" s="3" t="str">
        <x:v>https://www.usenix.org/system/files/atc25-yu.pdf</x:v>
      </x:c>
      <x:c r="J43" s="3" t="str">
        <x:v>AI assistant under Raazia direction</x:v>
      </x:c>
      <x:c r="K43" s="3" t="d">
        <x:v>2026-10-21T09:43:49.697Z</x:v>
      </x:c>
      <x:c r="L43" s="3" t="str"/>
    </x:row>
    <x:row r="44" ht="80" customHeight="1">
      <x:c r="A44" s="3" t="str">
        <x:v>P012</x:v>
      </x:c>
      <x:c r="B44" s="3" t="str">
        <x:v>Q3</x:v>
      </x:c>
      <x:c r="C44" s="6" t="n">
        <x:v>1</x:v>
      </x:c>
      <x:c r="D44" s="6" t="n">
        <x:v>1</x:v>
      </x:c>
      <x:c r="E44" s="6" t="n">
        <x:v>2</x:v>
      </x:c>
      <x:c r="F44" s="3" t="str">
        <x:v>Source appraisal completed</x:v>
      </x:c>
      <x:c r="G44" s="3" t="str">
        <x:v>Trace, rates and warm-up specified; repeated-run uncertainty not specified for retained Figure8.</x:v>
      </x:c>
      <x:c r="H44" s="3" t="str">
        <x:v>PDF pp9-11; section7</x:v>
      </x:c>
      <x:c r="I44" s="3" t="str">
        <x:v>https://www.usenix.org/system/files/atc25-yu.pdf</x:v>
      </x:c>
      <x:c r="J44" s="3" t="str">
        <x:v>AI assistant under Raazia direction</x:v>
      </x:c>
      <x:c r="K44" s="3" t="d">
        <x:v>2026-10-21T09:43:49.697Z</x:v>
      </x:c>
      <x:c r="L44" s="3" t="str"/>
    </x:row>
    <x:row r="45" ht="80" customHeight="1">
      <x:c r="A45" s="3" t="str">
        <x:v>P012</x:v>
      </x:c>
      <x:c r="B45" s="3" t="str">
        <x:v>Q4</x:v>
      </x:c>
      <x:c r="C45" s="6" t="n">
        <x:v>1</x:v>
      </x:c>
      <x:c r="D45" s="6" t="n">
        <x:v>1</x:v>
      </x:c>
      <x:c r="E45" s="6" t="n">
        <x:v>2</x:v>
      </x:c>
      <x:c r="F45" s="3" t="str">
        <x:v>Source appraisal completed</x:v>
      </x:c>
      <x:c r="G45" s="3" t="str">
        <x:v>Worker and model configuration supplied; exact OS/driver/framework version matrix not specified in setup.</x:v>
      </x:c>
      <x:c r="H45" s="3" t="str">
        <x:v>PDF p9; printed p604; settings</x:v>
      </x:c>
      <x:c r="I45" s="3" t="str">
        <x:v>https://www.usenix.org/system/files/atc25-yu.pdf</x:v>
      </x:c>
      <x:c r="J45" s="3" t="str">
        <x:v>AI assistant under Raazia direction</x:v>
      </x:c>
      <x:c r="K45" s="3" t="d">
        <x:v>2026-10-21T09:43:49.697Z</x:v>
      </x:c>
      <x:c r="L45" s="3" t="str"/>
    </x:row>
    <x:row r="46" ht="80" customHeight="1">
      <x:c r="A46" s="3" t="str">
        <x:v>P012</x:v>
      </x:c>
      <x:c r="B46" s="3" t="str">
        <x:v>Q5</x:v>
      </x:c>
      <x:c r="C46" s="6" t="n">
        <x:v>1</x:v>
      </x:c>
      <x:c r="D46" s="6" t="n">
        <x:v>1</x:v>
      </x:c>
      <x:c r="E46" s="6" t="n">
        <x:v>2</x:v>
      </x:c>
      <x:c r="F46" s="3" t="str">
        <x:v>Source appraisal completed</x:v>
      </x:c>
      <x:c r="G46" s="3" t="str">
        <x:v>Native and adapted INFless-KA baselines described; CPU execution paths and adaptations affect equality.</x:v>
      </x:c>
      <x:c r="H46" s="3" t="str">
        <x:v>PDF pp10-11; sections7.1-7.3</x:v>
      </x:c>
      <x:c r="I46" s="3" t="str">
        <x:v>https://www.usenix.org/system/files/atc25-yu.pdf</x:v>
      </x:c>
      <x:c r="J46" s="3" t="str">
        <x:v>AI assistant under Raazia direction</x:v>
      </x:c>
      <x:c r="K46" s="3" t="d">
        <x:v>2026-10-21T09:43:49.697Z</x:v>
      </x:c>
      <x:c r="L46" s="3" t="str"/>
    </x:row>
    <x:row r="47" ht="80" customHeight="1">
      <x:c r="A47" s="3" t="str">
        <x:v>P012</x:v>
      </x:c>
      <x:c r="B47" s="3" t="str">
        <x:v>Q6</x:v>
      </x:c>
      <x:c r="C47" s="6" t="n">
        <x:v>2</x:v>
      </x:c>
      <x:c r="D47" s="6" t="n">
        <x:v>2</x:v>
      </x:c>
      <x:c r="E47" s="6" t="n">
        <x:v>2</x:v>
      </x:c>
      <x:c r="F47" s="3" t="str">
        <x:v>Source appraisal completed</x:v>
      </x:c>
      <x:c r="G47" s="3" t="str">
        <x:v>Normalized single-GPU throughput and GPU busy-time definition supplied.</x:v>
      </x:c>
      <x:c r="H47" s="3" t="str">
        <x:v>PDF pp10-11; metrics; Figure8</x:v>
      </x:c>
      <x:c r="I47" s="3" t="str">
        <x:v>https://www.usenix.org/system/files/atc25-yu.pdf</x:v>
      </x:c>
      <x:c r="J47" s="3" t="str">
        <x:v>AI assistant under Raazia direction</x:v>
      </x:c>
      <x:c r="K47" s="3" t="d">
        <x:v>2026-10-21T09:43:49.697Z</x:v>
      </x:c>
      <x:c r="L47" s="3" t="str"/>
    </x:row>
    <x:row r="48" ht="80" customHeight="1">
      <x:c r="A48" s="3" t="str">
        <x:v>P012</x:v>
      </x:c>
      <x:c r="B48" s="3" t="str">
        <x:v>Q7</x:v>
      </x:c>
      <x:c r="C48" s="6" t="n">
        <x:v>2</x:v>
      </x:c>
      <x:c r="D48" s="6" t="n">
        <x:v>2</x:v>
      </x:c>
      <x:c r="E48" s="6" t="n">
        <x:v>2</x:v>
      </x:c>
      <x:c r="F48" s="3" t="str">
        <x:v>Source appraisal completed</x:v>
      </x:c>
      <x:c r="G48" s="3" t="str">
        <x:v>Default P98, per-function rates and deadlines stated.</x:v>
      </x:c>
      <x:c r="H48" s="3" t="str">
        <x:v>PDF pp10-11; metrics; section7.2</x:v>
      </x:c>
      <x:c r="I48" s="3" t="str">
        <x:v>https://www.usenix.org/system/files/atc25-yu.pdf</x:v>
      </x:c>
      <x:c r="J48" s="3" t="str">
        <x:v>AI assistant under Raazia direction</x:v>
      </x:c>
      <x:c r="K48" s="3" t="d">
        <x:v>2026-10-21T09:43:49.697Z</x:v>
      </x:c>
      <x:c r="L48" s="3" t="str"/>
    </x:row>
    <x:row r="49" ht="80" customHeight="1">
      <x:c r="A49" s="3" t="str">
        <x:v>P012</x:v>
      </x:c>
      <x:c r="B49" s="3" t="str">
        <x:v>Q8</x:v>
      </x:c>
      <x:c r="C49" s="6" t="n">
        <x:v>2</x:v>
      </x:c>
      <x:c r="D49" s="6" t="n">
        <x:v>2</x:v>
      </x:c>
      <x:c r="E49" s="6" t="n">
        <x:v>2</x:v>
      </x:c>
      <x:c r="F49" s="3" t="str">
        <x:v>Source appraisal completed</x:v>
      </x:c>
      <x:c r="G49" s="3" t="str">
        <x:v>Many low-frequency functions share one GPU; node-level results identified separately.</x:v>
      </x:c>
      <x:c r="H49" s="3" t="str">
        <x:v>PDF pp10-11; Figure8; section7.2</x:v>
      </x:c>
      <x:c r="I49" s="3" t="str">
        <x:v>https://www.usenix.org/system/files/atc25-yu.pdf</x:v>
      </x:c>
      <x:c r="J49" s="3" t="str">
        <x:v>AI assistant under Raazia direction</x:v>
      </x:c>
      <x:c r="K49" s="3" t="d">
        <x:v>2026-10-21T09:43:49.697Z</x:v>
      </x:c>
      <x:c r="L49" s="3" t="str"/>
    </x:row>
    <x:row r="50" ht="80" customHeight="1">
      <x:c r="A50" s="3" t="str">
        <x:v>P012</x:v>
      </x:c>
      <x:c r="B50" s="3" t="str">
        <x:v>Q9</x:v>
      </x:c>
      <x:c r="C50" s="6" t="n">
        <x:v>1</x:v>
      </x:c>
      <x:c r="D50" s="6" t="n">
        <x:v>1</x:v>
      </x:c>
      <x:c r="E50" s="6" t="n">
        <x:v>2</x:v>
      </x:c>
      <x:c r="F50" s="3" t="str">
        <x:v>Source appraisal completed</x:v>
      </x:c>
      <x:c r="G50" s="3" t="str">
        <x:v>Runtime-sharing and runtime-isolation modes plus recovery design stated; dedicated fault-injection evaluation not established.</x:v>
      </x:c>
      <x:c r="H50" s="3" t="str">
        <x:v>PDF p7; section4.5; PDF p9 evaluation mode</x:v>
      </x:c>
      <x:c r="I50" s="3" t="str">
        <x:v>https://www.usenix.org/system/files/atc25-yu.pdf</x:v>
      </x:c>
      <x:c r="J50" s="3" t="str">
        <x:v>AI assistant under Raazia direction</x:v>
      </x:c>
      <x:c r="K50" s="3" t="d">
        <x:v>2026-10-21T09:43:49.697Z</x:v>
      </x:c>
      <x:c r="L50" s="3" t="str"/>
    </x:row>
    <x:row r="51" ht="80" customHeight="1">
      <x:c r="A51" s="3" t="str">
        <x:v>P012</x:v>
      </x:c>
      <x:c r="B51" s="3" t="str">
        <x:v>Q10</x:v>
      </x:c>
      <x:c r="C51" s="6" t="n">
        <x:v>1</x:v>
      </x:c>
      <x:c r="D51" s="6" t="n">
        <x:v>1</x:v>
      </x:c>
      <x:c r="E51" s="6" t="n">
        <x:v>2</x:v>
      </x:c>
      <x:c r="F51" s="3" t="str">
        <x:v>Source appraisal completed</x:v>
      </x:c>
      <x:c r="G51" s="3" t="str">
        <x:v>Implementation and mode trade-offs explained; complete public replication recipe not established in paper.</x:v>
      </x:c>
      <x:c r="H51" s="3" t="str">
        <x:v>PDF pp7-9,13; sections4.5,6,8</x:v>
      </x:c>
      <x:c r="I51" s="3" t="str">
        <x:v>https://www.usenix.org/system/files/atc25-yu.pdf</x:v>
      </x:c>
      <x:c r="J51" s="3" t="str">
        <x:v>AI assistant under Raazia direction</x:v>
      </x:c>
      <x:c r="K51" s="3" t="d">
        <x:v>2026-10-21T09:43:49.697Z</x:v>
      </x:c>
      <x:c r="L51" s="3" t="str"/>
    </x:row>
    <x:row r="52" ht="80" customHeight="1">
      <x:c r="A52" s="3" t="str">
        <x:v>P013</x:v>
      </x:c>
      <x:c r="B52" s="3" t="str">
        <x:v>Q1</x:v>
      </x:c>
      <x:c r="C52" s="6" t="n">
        <x:v>2</x:v>
      </x:c>
      <x:c r="D52" s="6" t="n">
        <x:v>2</x:v>
      </x:c>
      <x:c r="E52" s="6" t="n">
        <x:v>2</x:v>
      </x:c>
      <x:c r="F52" s="3" t="str">
        <x:v>Source appraisal completed</x:v>
      </x:c>
      <x:c r="G52" s="3" t="str">
        <x:v>Workflow runtime-redundancy and spatial-sharing objective explicit.</x:v>
      </x:c>
      <x:c r="H52" s="3" t="str">
        <x:v>PDF p2; printed p59; section1</x:v>
      </x:c>
      <x:c r="I52" s="3" t="str">
        <x:v>https://www.usenix.org/system/files/atc24-wu-hao.pdf</x:v>
      </x:c>
      <x:c r="J52" s="3" t="str">
        <x:v>AI assistant under Raazia direction</x:v>
      </x:c>
      <x:c r="K52" s="3" t="d">
        <x:v>2026-10-21T09:43:49.697Z</x:v>
      </x:c>
      <x:c r="L52" s="3" t="str"/>
    </x:row>
    <x:row r="53" ht="80" customHeight="1">
      <x:c r="A53" s="3" t="str">
        <x:v>P013</x:v>
      </x:c>
      <x:c r="B53" s="3" t="str">
        <x:v>Q2</x:v>
      </x:c>
      <x:c r="C53" s="6" t="n">
        <x:v>2</x:v>
      </x:c>
      <x:c r="D53" s="6" t="n">
        <x:v>2</x:v>
      </x:c>
      <x:c r="E53" s="6" t="n">
        <x:v>2</x:v>
      </x:c>
      <x:c r="F53" s="3" t="str">
        <x:v>Source appraisal completed</x:v>
      </x:c>
      <x:c r="G53" s="3" t="str">
        <x:v>API proxy, PTB transformation, stream sharing and memory pool described.</x:v>
      </x:c>
      <x:c r="H53" s="3" t="str">
        <x:v>PDF pp5-10; sections3-8</x:v>
      </x:c>
      <x:c r="I53" s="3" t="str">
        <x:v>https://www.usenix.org/system/files/atc24-wu-hao.pdf</x:v>
      </x:c>
      <x:c r="J53" s="3" t="str">
        <x:v>AI assistant under Raazia direction</x:v>
      </x:c>
      <x:c r="K53" s="3" t="d">
        <x:v>2026-10-21T09:43:49.697Z</x:v>
      </x:c>
      <x:c r="L53" s="3" t="str"/>
    </x:row>
    <x:row r="54" ht="80" customHeight="1">
      <x:c r="A54" s="3" t="str">
        <x:v>P013</x:v>
      </x:c>
      <x:c r="B54" s="3" t="str">
        <x:v>Q3</x:v>
      </x:c>
      <x:c r="C54" s="6" t="n">
        <x:v>1</x:v>
      </x:c>
      <x:c r="D54" s="6" t="n">
        <x:v>1</x:v>
      </x:c>
      <x:c r="E54" s="6" t="n">
        <x:v>2</x:v>
      </x:c>
      <x:c r="F54" s="3" t="str">
        <x:v>Source appraisal completed</x:v>
      </x:c>
      <x:c r="G54" s="3" t="str">
        <x:v>Trace types, ablations and workloads stated; repeated-run uncertainty not specified for Figure13.</x:v>
      </x:c>
      <x:c r="H54" s="3" t="str">
        <x:v>PDF pp10-13; section9</x:v>
      </x:c>
      <x:c r="I54" s="3" t="str">
        <x:v>https://www.usenix.org/system/files/atc24-wu-hao.pdf</x:v>
      </x:c>
      <x:c r="J54" s="3" t="str">
        <x:v>AI assistant under Raazia direction</x:v>
      </x:c>
      <x:c r="K54" s="3" t="d">
        <x:v>2026-10-21T09:43:49.697Z</x:v>
      </x:c>
      <x:c r="L54" s="3" t="str"/>
    </x:row>
    <x:row r="55" ht="80" customHeight="1">
      <x:c r="A55" s="3" t="str">
        <x:v>P013</x:v>
      </x:c>
      <x:c r="B55" s="3" t="str">
        <x:v>Q4</x:v>
      </x:c>
      <x:c r="C55" s="6" t="n">
        <x:v>1</x:v>
      </x:c>
      <x:c r="D55" s="6" t="n">
        <x:v>2</x:v>
      </x:c>
      <x:c r="E55" s="6" t="n">
        <x:v>2</x:v>
      </x:c>
      <x:c r="F55" s="3" t="str">
        <x:v>Source appraisal completed</x:v>
      </x:c>
      <x:c r="G55" s="3" t="str">
        <x:v>V100 hardware, CPU/RAM, framework versions, CUDA version and workflow descriptions reported.</x:v>
      </x:c>
      <x:c r="H55" s="3" t="str">
        <x:v>PDF p10; printed p67; setup; Table2</x:v>
      </x:c>
      <x:c r="I55" s="3" t="str">
        <x:v>https://www.usenix.org/system/files/atc24-wu-hao.pdf</x:v>
      </x:c>
      <x:c r="J55" s="3" t="str">
        <x:v>AI assistant under Raazia direction</x:v>
      </x:c>
      <x:c r="K55" s="3" t="d">
        <x:v>2026-10-21T09:43:49.697Z</x:v>
      </x:c>
      <x:c r="L55" s="3" t="str"/>
    </x:row>
    <x:row r="56" ht="80" customHeight="1">
      <x:c r="A56" s="3" t="str">
        <x:v>P013</x:v>
      </x:c>
      <x:c r="B56" s="3" t="str">
        <x:v>Q5</x:v>
      </x:c>
      <x:c r="C56" s="6" t="n">
        <x:v>1</x:v>
      </x:c>
      <x:c r="D56" s="6" t="n">
        <x:v>1</x:v>
      </x:c>
      <x:c r="E56" s="6" t="n">
        <x:v>2</x:v>
      </x:c>
      <x:c r="F56" s="3" t="str">
        <x:v>Source appraisal completed</x:v>
      </x:c>
      <x:c r="G56" s="3" t="str">
        <x:v>Warm-up and common optimizations disclosed; adapted baselines and batch/concurrency choices constrain causal attribution.</x:v>
      </x:c>
      <x:c r="H56" s="3" t="str">
        <x:v>PDF pp10-11; comparing targets; Figure13</x:v>
      </x:c>
      <x:c r="I56" s="3" t="str">
        <x:v>https://www.usenix.org/system/files/atc24-wu-hao.pdf</x:v>
      </x:c>
      <x:c r="J56" s="3" t="str">
        <x:v>AI assistant under Raazia direction</x:v>
      </x:c>
      <x:c r="K56" s="3" t="d">
        <x:v>2026-10-21T09:43:49.697Z</x:v>
      </x:c>
      <x:c r="L56" s="3" t="str"/>
    </x:row>
    <x:row r="57" ht="80" customHeight="1">
      <x:c r="A57" s="3" t="str">
        <x:v>P013</x:v>
      </x:c>
      <x:c r="B57" s="3" t="str">
        <x:v>Q6</x:v>
      </x:c>
      <x:c r="C57" s="6" t="n">
        <x:v>2</x:v>
      </x:c>
      <x:c r="D57" s="6" t="n">
        <x:v>2</x:v>
      </x:c>
      <x:c r="E57" s="6" t="n">
        <x:v>2</x:v>
      </x:c>
      <x:c r="F57" s="3" t="str">
        <x:v>Source appraisal completed</x:v>
      </x:c>
      <x:c r="G57" s="3" t="str">
        <x:v>Throughput, memory metrics and comparator-specific factors explicitly reported.</x:v>
      </x:c>
      <x:c r="H57" s="3" t="str">
        <x:v>PDF p11; printed p68; Figures12-13</x:v>
      </x:c>
      <x:c r="I57" s="3" t="str">
        <x:v>https://www.usenix.org/system/files/atc24-wu-hao.pdf</x:v>
      </x:c>
      <x:c r="J57" s="3" t="str">
        <x:v>AI assistant under Raazia direction</x:v>
      </x:c>
      <x:c r="K57" s="3" t="d">
        <x:v>2026-10-21T09:43:49.697Z</x:v>
      </x:c>
      <x:c r="L57" s="3" t="str"/>
    </x:row>
    <x:row r="58" ht="80" customHeight="1">
      <x:c r="A58" s="3" t="str">
        <x:v>P013</x:v>
      </x:c>
      <x:c r="B58" s="3" t="str">
        <x:v>Q7</x:v>
      </x:c>
      <x:c r="C58" s="6" t="n">
        <x:v>1</x:v>
      </x:c>
      <x:c r="D58" s="6" t="n">
        <x:v>1</x:v>
      </x:c>
      <x:c r="E58" s="6" t="n">
        <x:v>2</x:v>
      </x:c>
      <x:c r="F58" s="3" t="str">
        <x:v>Source appraisal completed</x:v>
      </x:c>
      <x:c r="G58" s="3" t="str">
        <x:v>Traffic SLO and CDF supplied; exact scalar request-tail quantile not supplied for retained throughput result.</x:v>
      </x:c>
      <x:c r="H58" s="3" t="str">
        <x:v>PDF p11; Figure14</x:v>
      </x:c>
      <x:c r="I58" s="3" t="str">
        <x:v>https://www.usenix.org/system/files/atc24-wu-hao.pdf</x:v>
      </x:c>
      <x:c r="J58" s="3" t="str">
        <x:v>AI assistant under Raazia direction</x:v>
      </x:c>
      <x:c r="K58" s="3" t="d">
        <x:v>2026-10-21T09:43:49.697Z</x:v>
      </x:c>
      <x:c r="L58" s="3" t="str"/>
    </x:row>
    <x:row r="59" ht="80" customHeight="1">
      <x:c r="A59" s="3" t="str">
        <x:v>P013</x:v>
      </x:c>
      <x:c r="B59" s="3" t="str">
        <x:v>Q8</x:v>
      </x:c>
      <x:c r="C59" s="6" t="n">
        <x:v>2</x:v>
      </x:c>
      <x:c r="D59" s="6" t="n">
        <x:v>2</x:v>
      </x:c>
      <x:c r="E59" s="6" t="n">
        <x:v>2</x:v>
      </x:c>
      <x:c r="F59" s="3" t="str">
        <x:v>Source appraisal completed</x:v>
      </x:c>
      <x:c r="G59" s="3" t="str">
        <x:v>Separate three- and six-user single-GPU tests supplied.</x:v>
      </x:c>
      <x:c r="H59" s="3" t="str">
        <x:v>PDF p13; section9.4; Figure19</x:v>
      </x:c>
      <x:c r="I59" s="3" t="str">
        <x:v>https://www.usenix.org/system/files/atc24-wu-hao.pdf</x:v>
      </x:c>
      <x:c r="J59" s="3" t="str">
        <x:v>AI assistant under Raazia direction</x:v>
      </x:c>
      <x:c r="K59" s="3" t="d">
        <x:v>2026-10-21T09:43:49.697Z</x:v>
      </x:c>
      <x:c r="L59" s="3" t="str"/>
    </x:row>
    <x:row r="60" ht="80" customHeight="1">
      <x:c r="A60" s="3" t="str">
        <x:v>P013</x:v>
      </x:c>
      <x:c r="B60" s="3" t="str">
        <x:v>Q9</x:v>
      </x:c>
      <x:c r="C60" s="6" t="n">
        <x:v>1</x:v>
      </x:c>
      <x:c r="D60" s="6" t="n">
        <x:v>2</x:v>
      </x:c>
      <x:c r="E60" s="6" t="n">
        <x:v>2</x:v>
      </x:c>
      <x:c r="F60" s="3" t="str">
        <x:v>Source appraisal completed</x:v>
      </x:c>
      <x:c r="G60" s="3" t="str">
        <x:v>Mutual trust within workflow is explicit; separate proxies for users are distinguished from untested strong security.</x:v>
      </x:c>
      <x:c r="H60" s="3" t="str">
        <x:v>PDF pp5-6,13; sections3-4,9.4,10</x:v>
      </x:c>
      <x:c r="I60" s="3" t="str">
        <x:v>https://www.usenix.org/system/files/atc24-wu-hao.pdf</x:v>
      </x:c>
      <x:c r="J60" s="3" t="str">
        <x:v>AI assistant under Raazia direction</x:v>
      </x:c>
      <x:c r="K60" s="3" t="d">
        <x:v>2026-10-21T09:43:49.697Z</x:v>
      </x:c>
      <x:c r="L60" s="3" t="str"/>
    </x:row>
    <x:row r="61" ht="80" customHeight="1">
      <x:c r="A61" s="3" t="str">
        <x:v>P013</x:v>
      </x:c>
      <x:c r="B61" s="3" t="str">
        <x:v>Q10</x:v>
      </x:c>
      <x:c r="C61" s="6" t="n">
        <x:v>2</x:v>
      </x:c>
      <x:c r="D61" s="6" t="n">
        <x:v>2</x:v>
      </x:c>
      <x:c r="E61" s="6" t="n">
        <x:v>2</x:v>
      </x:c>
      <x:c r="F61" s="3" t="str">
        <x:v>Source appraisal completed</x:v>
      </x:c>
      <x:c r="G61" s="3" t="str">
        <x:v>Implementation, preparation costs and multi-user limitations sufficiently detailed for informed appraisal.</x:v>
      </x:c>
      <x:c r="H61" s="3" t="str">
        <x:v>PDF pp6-10,13; sections4-9</x:v>
      </x:c>
      <x:c r="I61" s="3" t="str">
        <x:v>https://www.usenix.org/system/files/atc24-wu-hao.pdf</x:v>
      </x:c>
      <x:c r="J61" s="3" t="str">
        <x:v>AI assistant under Raazia direction</x:v>
      </x:c>
      <x:c r="K61" s="3" t="d">
        <x:v>2026-10-21T09:43:49.697Z</x:v>
      </x:c>
      <x:c r="L61" s="3" t="str"/>
    </x:row>
    <x:row r="62" ht="80" customHeight="1">
      <x:c r="A62" s="3" t="str">
        <x:v>P014</x:v>
      </x:c>
      <x:c r="B62" s="3" t="str">
        <x:v>Q1</x:v>
      </x:c>
      <x:c r="C62" s="6" t="n">
        <x:v>2</x:v>
      </x:c>
      <x:c r="D62" s="6" t="n">
        <x:v>2</x:v>
      </x:c>
      <x:c r="E62" s="6" t="n">
        <x:v>2</x:v>
      </x:c>
      <x:c r="F62" s="3" t="str">
        <x:v>Source appraisal completed</x:v>
      </x:c>
      <x:c r="G62" s="3" t="str">
        <x:v>Compatibility, isolation and performance-control objectives explicit.</x:v>
      </x:c>
      <x:c r="H62" s="3" t="str">
        <x:v>PDF p2; printed p1003; section1</x:v>
      </x:c>
      <x:c r="I62" s="3" t="str">
        <x:v>https://www.usenix.org/system/files/atc25-zhang-shulai.pdf</x:v>
      </x:c>
      <x:c r="J62" s="3" t="str">
        <x:v>AI assistant under Raazia direction</x:v>
      </x:c>
      <x:c r="K62" s="3" t="d">
        <x:v>2026-10-21T09:43:49.697Z</x:v>
      </x:c>
      <x:c r="L62" s="3" t="str"/>
    </x:row>
    <x:row r="63" ht="80" customHeight="1">
      <x:c r="A63" s="3" t="str">
        <x:v>P014</x:v>
      </x:c>
      <x:c r="B63" s="3" t="str">
        <x:v>Q2</x:v>
      </x:c>
      <x:c r="C63" s="6" t="n">
        <x:v>2</x:v>
      </x:c>
      <x:c r="D63" s="6" t="n">
        <x:v>2</x:v>
      </x:c>
      <x:c r="E63" s="6" t="n">
        <x:v>2</x:v>
      </x:c>
      <x:c r="F63" s="3" t="str">
        <x:v>Source appraisal completed</x:v>
      </x:c>
      <x:c r="G63" s="3" t="str">
        <x:v>Kernel interception, token control and MIG orchestration explained.</x:v>
      </x:c>
      <x:c r="H63" s="3" t="str">
        <x:v>PDF pp5-10; sections3-4</x:v>
      </x:c>
      <x:c r="I63" s="3" t="str">
        <x:v>https://www.usenix.org/system/files/atc25-zhang-shulai.pdf</x:v>
      </x:c>
      <x:c r="J63" s="3" t="str">
        <x:v>AI assistant under Raazia direction</x:v>
      </x:c>
      <x:c r="K63" s="3" t="d">
        <x:v>2026-10-21T09:43:49.697Z</x:v>
      </x:c>
      <x:c r="L63" s="3" t="str"/>
    </x:row>
    <x:row r="64" ht="80" customHeight="1">
      <x:c r="A64" s="3" t="str">
        <x:v>P014</x:v>
      </x:c>
      <x:c r="B64" s="3" t="str">
        <x:v>Q3</x:v>
      </x:c>
      <x:c r="C64" s="6" t="n">
        <x:v>1</x:v>
      </x:c>
      <x:c r="D64" s="6" t="n">
        <x:v>1</x:v>
      </x:c>
      <x:c r="E64" s="6" t="n">
        <x:v>2</x:v>
      </x:c>
      <x:c r="F64" s="3" t="str">
        <x:v>Source appraisal completed</x:v>
      </x:c>
      <x:c r="G64" s="3" t="str">
        <x:v>Setup and workloads detailed; repeated-run uncertainty not specified for retained QoS result.</x:v>
      </x:c>
      <x:c r="H64" s="3" t="str">
        <x:v>PDF pp10-13; section5</x:v>
      </x:c>
      <x:c r="I64" s="3" t="str">
        <x:v>https://www.usenix.org/system/files/atc25-zhang-shulai.pdf</x:v>
      </x:c>
      <x:c r="J64" s="3" t="str">
        <x:v>AI assistant under Raazia direction</x:v>
      </x:c>
      <x:c r="K64" s="3" t="d">
        <x:v>2026-10-21T09:43:49.697Z</x:v>
      </x:c>
      <x:c r="L64" s="3" t="str"/>
    </x:row>
    <x:row r="65" ht="80" customHeight="1">
      <x:c r="A65" s="3" t="str">
        <x:v>P014</x:v>
      </x:c>
      <x:c r="B65" s="3" t="str">
        <x:v>Q4</x:v>
      </x:c>
      <x:c r="C65" s="6" t="n">
        <x:v>2</x:v>
      </x:c>
      <x:c r="D65" s="6" t="n">
        <x:v>2</x:v>
      </x:c>
      <x:c r="E65" s="6" t="n">
        <x:v>2</x:v>
      </x:c>
      <x:c r="F65" s="3" t="str">
        <x:v>Source appraisal completed</x:v>
      </x:c>
      <x:c r="G65" s="3" t="str">
        <x:v>OS, kernel, driver, runtimes, GPUs and workloads explicitly tabulated.</x:v>
      </x:c>
      <x:c r="H65" s="3" t="str">
        <x:v>PDF p10; printed p1011; Tables1-2</x:v>
      </x:c>
      <x:c r="I65" s="3" t="str">
        <x:v>https://www.usenix.org/system/files/atc25-zhang-shulai.pdf</x:v>
      </x:c>
      <x:c r="J65" s="3" t="str">
        <x:v>AI assistant under Raazia direction</x:v>
      </x:c>
      <x:c r="K65" s="3" t="d">
        <x:v>2026-10-21T09:43:49.697Z</x:v>
      </x:c>
      <x:c r="L65" s="3" t="str"/>
    </x:row>
    <x:row r="66" ht="80" customHeight="1">
      <x:c r="A66" s="3" t="str">
        <x:v>P014</x:v>
      </x:c>
      <x:c r="B66" s="3" t="str">
        <x:v>Q5</x:v>
      </x:c>
      <x:c r="C66" s="6" t="n">
        <x:v>1</x:v>
      </x:c>
      <x:c r="D66" s="6" t="n">
        <x:v>1</x:v>
      </x:c>
      <x:c r="E66" s="6" t="n">
        <x:v>2</x:v>
      </x:c>
      <x:c r="F66" s="3" t="str">
        <x:v>Source appraisal completed</x:v>
      </x:c>
      <x:c r="G66" s="3" t="str">
        <x:v>Isolation-capable baselines and MIG adaptations described; policy and allocation differences limit equivalence.</x:v>
      </x:c>
      <x:c r="H66" s="3" t="str">
        <x:v>PDF pp10-11; section5.1</x:v>
      </x:c>
      <x:c r="I66" s="3" t="str">
        <x:v>https://www.usenix.org/system/files/atc25-zhang-shulai.pdf</x:v>
      </x:c>
      <x:c r="J66" s="3" t="str">
        <x:v>AI assistant under Raazia direction</x:v>
      </x:c>
      <x:c r="K66" s="3" t="d">
        <x:v>2026-10-21T09:43:49.697Z</x:v>
      </x:c>
      <x:c r="L66" s="3" t="str"/>
    </x:row>
    <x:row r="67" ht="80" customHeight="1">
      <x:c r="A67" s="3" t="str">
        <x:v>P014</x:v>
      </x:c>
      <x:c r="B67" s="3" t="str">
        <x:v>Q6</x:v>
      </x:c>
      <x:c r="C67" s="6" t="n">
        <x:v>2</x:v>
      </x:c>
      <x:c r="D67" s="6" t="n">
        <x:v>2</x:v>
      </x:c>
      <x:c r="E67" s="6" t="n">
        <x:v>2</x:v>
      </x:c>
      <x:c r="F67" s="3" t="str">
        <x:v>Source appraisal completed</x:v>
      </x:c>
      <x:c r="G67" s="3" t="str">
        <x:v>Throughput targets are solo-normalized and QoS violation is a request fraction.</x:v>
      </x:c>
      <x:c r="H67" s="3" t="str">
        <x:v>PDF pp10,12-13; sections5.1,5.4-5.6</x:v>
      </x:c>
      <x:c r="I67" s="3" t="str">
        <x:v>https://www.usenix.org/system/files/atc25-zhang-shulai.pdf</x:v>
      </x:c>
      <x:c r="J67" s="3" t="str">
        <x:v>AI assistant under Raazia direction</x:v>
      </x:c>
      <x:c r="K67" s="3" t="d">
        <x:v>2026-10-21T09:43:49.697Z</x:v>
      </x:c>
      <x:c r="L67" s="3" t="str"/>
    </x:row>
    <x:row r="68" ht="80" customHeight="1">
      <x:c r="A68" s="3" t="str">
        <x:v>P014</x:v>
      </x:c>
      <x:c r="B68" s="3" t="str">
        <x:v>Q7</x:v>
      </x:c>
      <x:c r="C68" s="6" t="n">
        <x:v>2</x:v>
      </x:c>
      <x:c r="D68" s="6" t="n">
        <x:v>2</x:v>
      </x:c>
      <x:c r="E68" s="6" t="n">
        <x:v>2</x:v>
      </x:c>
      <x:c r="F68" s="3" t="str">
        <x:v>Source appraisal completed</x:v>
      </x:c>
      <x:c r="G68" s="3" t="str">
        <x:v>Solo-P99 threshold, Poisson load, subsequent rate halving and token sizes stated.</x:v>
      </x:c>
      <x:c r="H68" s="3" t="str">
        <x:v>PDF pp12-13; section5.5; Figure17</x:v>
      </x:c>
      <x:c r="I68" s="3" t="str">
        <x:v>https://www.usenix.org/system/files/atc25-zhang-shulai.pdf</x:v>
      </x:c>
      <x:c r="J68" s="3" t="str">
        <x:v>AI assistant under Raazia direction</x:v>
      </x:c>
      <x:c r="K68" s="3" t="d">
        <x:v>2026-10-21T09:43:49.697Z</x:v>
      </x:c>
      <x:c r="L68" s="3" t="str"/>
    </x:row>
    <x:row r="69" ht="80" customHeight="1">
      <x:c r="A69" s="3" t="str">
        <x:v>P014</x:v>
      </x:c>
      <x:c r="B69" s="3" t="str">
        <x:v>Q8</x:v>
      </x:c>
      <x:c r="C69" s="6" t="n">
        <x:v>2</x:v>
      </x:c>
      <x:c r="D69" s="6" t="n">
        <x:v>2</x:v>
      </x:c>
      <x:c r="E69" s="6" t="n">
        <x:v>2</x:v>
      </x:c>
      <x:c r="F69" s="3" t="str">
        <x:v>Source appraisal completed</x:v>
      </x:c>
      <x:c r="G69" s="3" t="str">
        <x:v>Co-running inference relative-error and QoS experiments supplied.</x:v>
      </x:c>
      <x:c r="H69" s="3" t="str">
        <x:v>PDF p13; sections5.5-5.6</x:v>
      </x:c>
      <x:c r="I69" s="3" t="str">
        <x:v>https://www.usenix.org/system/files/atc25-zhang-shulai.pdf</x:v>
      </x:c>
      <x:c r="J69" s="3" t="str">
        <x:v>AI assistant under Raazia direction</x:v>
      </x:c>
      <x:c r="K69" s="3" t="d">
        <x:v>2026-10-21T09:43:49.697Z</x:v>
      </x:c>
      <x:c r="L69" s="3" t="str"/>
    </x:row>
    <x:row r="70" ht="80" customHeight="1">
      <x:c r="A70" s="3" t="str">
        <x:v>P014</x:v>
      </x:c>
      <x:c r="B70" s="3" t="str">
        <x:v>Q9</x:v>
      </x:c>
      <x:c r="C70" s="6" t="n">
        <x:v>1</x:v>
      </x:c>
      <x:c r="D70" s="6" t="n">
        <x:v>1</x:v>
      </x:c>
      <x:c r="E70" s="6" t="n">
        <x:v>2</x:v>
      </x:c>
      <x:c r="F70" s="3" t="str">
        <x:v>Source appraisal completed</x:v>
      </x:c>
      <x:c r="G70" s="3" t="str">
        <x:v>Baseline fault propagation is tested; design/security argument does not directly establish universal KRYPTON containment.</x:v>
      </x:c>
      <x:c r="H70" s="3" t="str">
        <x:v>PDF p4 Figure3; PDF p14 section7</x:v>
      </x:c>
      <x:c r="I70" s="3" t="str">
        <x:v>https://www.usenix.org/system/files/atc25-zhang-shulai.pdf</x:v>
      </x:c>
      <x:c r="J70" s="3" t="str">
        <x:v>AI assistant under Raazia direction</x:v>
      </x:c>
      <x:c r="K70" s="3" t="d">
        <x:v>2026-10-21T09:43:49.697Z</x:v>
      </x:c>
      <x:c r="L70" s="3" t="str"/>
    </x:row>
    <x:row r="71" ht="80" customHeight="1">
      <x:c r="A71" s="3" t="str">
        <x:v>P014</x:v>
      </x:c>
      <x:c r="B71" s="3" t="str">
        <x:v>Q10</x:v>
      </x:c>
      <x:c r="C71" s="6" t="n">
        <x:v>1</x:v>
      </x:c>
      <x:c r="D71" s="6" t="n">
        <x:v>1</x:v>
      </x:c>
      <x:c r="E71" s="6" t="n">
        <x:v>2</x:v>
      </x:c>
      <x:c r="F71" s="3" t="str">
        <x:v>Source appraisal completed</x:v>
      </x:c>
      <x:c r="G71" s="3" t="str">
        <x:v>Implementation and MIG limitation detailed; complete end-to-end replication package not established.</x:v>
      </x:c>
      <x:c r="H71" s="3" t="str">
        <x:v>PDF pp10,14; sections4,7</x:v>
      </x:c>
      <x:c r="I71" s="3" t="str">
        <x:v>https://www.usenix.org/system/files/atc25-zhang-shulai.pdf</x:v>
      </x:c>
      <x:c r="J71" s="3" t="str">
        <x:v>AI assistant under Raazia direction</x:v>
      </x:c>
      <x:c r="K71" s="3" t="d">
        <x:v>2026-10-21T09:43:49.697Z</x:v>
      </x:c>
      <x:c r="L71" s="3" t="str"/>
    </x:row>
  </x:sheetData>
  <x:pageMargins left="0.7" right="0.7" top="0.75" bottom="0.75" header="0.3" footer="0.3"/>
  <x:tableParts count="1">
    <x:tablePart xmlns:r="http://schemas.openxmlformats.org/officeDocument/2006/relationships" r:id="R122edca809fb4ef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3" hidden="0" customWidth="1"/>
    <x:col min="2" max="2" width="13" hidden="0" customWidth="1"/>
    <x:col min="3" max="3" width="53" hidden="0" customWidth="1"/>
    <x:col min="4" max="4" width="20" hidden="0" customWidth="1"/>
    <x:col min="5" max="5" width="20" hidden="0" customWidth="1"/>
    <x:col min="6" max="6" width="55" hidden="0" customWidth="1"/>
    <x:col min="7" max="7" width="70" hidden="0" customWidth="1"/>
    <x:col min="8" max="8" width="72" hidden="0" customWidth="1"/>
    <x:col min="9" max="9" width="76" hidden="0" customWidth="1"/>
    <x:col min="10" max="10" width="60" hidden="0" customWidth="1"/>
    <x:col min="11" max="11" width="65" hidden="0" customWidth="1"/>
    <x:col min="12" max="12" width="58" hidden="0" customWidth="1"/>
    <x:col min="13" max="13" width="48" hidden="0" customWidth="1"/>
    <x:col min="14" max="14" width="30" hidden="0" customWidth="1"/>
    <x:col min="15" max="15" width="42" hidden="0" customWidth="1"/>
  </x:cols>
  <x:sheetData>
    <x:row r="1" ht="42" customHeight="1">
      <x:c r="A1" s="5" t="str">
        <x:v>Evidence ID</x:v>
      </x:c>
      <x:c r="B1" s="5" t="str">
        <x:v>Report ID</x:v>
      </x:c>
      <x:c r="C1" s="5" t="str">
        <x:v>Metric</x:v>
      </x:c>
      <x:c r="D1" s="5" t="str">
        <x:v>Value</x:v>
      </x:c>
      <x:c r="E1" s="5" t="str">
        <x:v>Units</x:v>
      </x:c>
      <x:c r="F1" s="5" t="str">
        <x:v>Baseline</x:v>
      </x:c>
      <x:c r="G1" s="5" t="str">
        <x:v>Hardware</x:v>
      </x:c>
      <x:c r="H1" s="5" t="str">
        <x:v>Workload</x:v>
      </x:c>
      <x:c r="I1" s="5" t="str">
        <x:v>Interpretation</x:v>
      </x:c>
      <x:c r="J1" s="5" t="str">
        <x:v>Evidence location</x:v>
      </x:c>
      <x:c r="K1" s="5" t="str">
        <x:v>Source</x:v>
      </x:c>
      <x:c r="L1" s="5" t="str">
        <x:v>Original anchor</x:v>
      </x:c>
      <x:c r="M1" s="5" t="str">
        <x:v>Review result</x:v>
      </x:c>
      <x:c r="N1" s="5" t="str">
        <x:v>Checked UTC</x:v>
      </x:c>
      <x:c r="O1" s="5" t="str">
        <x:v>Reviewer</x:v>
      </x:c>
    </x:row>
    <x:row r="2" ht="80" customHeight="1">
      <x:c r="A2" s="3" t="str">
        <x:v>E031</x:v>
      </x:c>
      <x:c r="B2" s="3" t="str">
        <x:v>P008</x:v>
      </x:c>
      <x:c r="C2" s="3" t="str">
        <x:v>GPU utilization efficacy GUE</x:v>
      </x:c>
      <x:c r="D2" s="3" t="str">
        <x:v>94.04</x:v>
      </x:c>
      <x:c r="E2" s="3" t="str">
        <x:v>composite score</x:v>
      </x:c>
      <x:c r="F2" s="3" t="str">
        <x:v>Default MPS GUE38.82</x:v>
      </x:c>
      <x:c r="G2" s="3" t="str">
        <x:v>One V10016GB</x:v>
      </x:c>
      <x:c r="H2" s="3" t="str">
        <x:v>Alexnet+ResNet50;25ms target</x:v>
      </x:c>
      <x:c r="I2" s="3" t="str">
        <x:v>Not percent GPU utilization</x:v>
      </x:c>
      <x:c r="J2" s="3" t="str">
        <x:v>GSLICE PDF p9; printed p500; Table3</x:v>
      </x:c>
      <x:c r="K2" s="3" t="str">
        <x:v>https://www.cse.iitb.ac.in/~puru/courses/spring2024-25/downloads/gslice.pdf</x:v>
      </x:c>
      <x:c r="L2" s="3" t="str">
        <x:v>printed p500 Table3; PDF p9</x:v>
      </x:c>
      <x:c r="M2" s="3" t="str">
        <x:v>Value verified in accessed source</x:v>
      </x:c>
      <x:c r="N2" s="3" t="d">
        <x:v>2026-10-21T09:43:49.697Z</x:v>
      </x:c>
      <x:c r="O2" s="3" t="str">
        <x:v>AI assistant under Raazia direction</x:v>
      </x:c>
    </x:row>
    <x:row r="3" ht="80" customHeight="1">
      <x:c r="A3" s="3" t="str">
        <x:v>E032</x:v>
      </x:c>
      <x:c r="B3" s="3" t="str">
        <x:v>P008</x:v>
      </x:c>
      <x:c r="C3" s="3" t="str">
        <x:v>Signed latency improvement</x:v>
      </x:c>
      <x:c r="D3" s="3" t="str">
        <x:v>-7.52</x:v>
      </x:c>
      <x:c r="E3" s="3" t="str">
        <x:v>percent</x:v>
      </x:c>
      <x:c r="F3" s="3" t="str">
        <x:v>TensorRT server19.02</x:v>
      </x:c>
      <x:c r="G3" s="3" t="str">
        <x:v>One V10016GB</x:v>
      </x:c>
      <x:c r="H3" s="3" t="str">
        <x:v>ResNet50;batch1;GPU-ready batch execution</x:v>
      </x:c>
      <x:c r="I3" s="3" t="str">
        <x:v>Negative means worse latency; excludes transport overhead; single-model comparison</x:v>
      </x:c>
      <x:c r="J3" s="3" t="str">
        <x:v>GSLICE PDF p10; printed p501; Table4 and section4.3</x:v>
      </x:c>
      <x:c r="K3" s="3" t="str">
        <x:v>https://www.cse.iitb.ac.in/~puru/courses/spring2024-25/downloads/gslice.pdf</x:v>
      </x:c>
      <x:c r="L3" s="3" t="str">
        <x:v>printed p501 Table4; PDF p10</x:v>
      </x:c>
      <x:c r="M3" s="3" t="str">
        <x:v>Value verified in accessed source</x:v>
      </x:c>
      <x:c r="N3" s="3" t="d">
        <x:v>2026-10-21T09:43:49.697Z</x:v>
      </x:c>
      <x:c r="O3" s="3" t="str">
        <x:v>AI assistant under Raazia direction</x:v>
      </x:c>
    </x:row>
    <x:row r="4" ht="80" customHeight="1">
      <x:c r="A4" s="3" t="str">
        <x:v>E033</x:v>
      </x:c>
      <x:c r="B4" s="3" t="str">
        <x:v>P009</x:v>
      </x:c>
      <x:c r="C4" s="3" t="str">
        <x:v>Clockwork goodput</x:v>
      </x:c>
      <x:c r="D4" s="3" t="str">
        <x:v>approximately800</x:v>
      </x:c>
      <x:c r="E4" s="3" t="str">
        <x:v>requests/second</x:v>
      </x:c>
      <x:c r="F4" s="3" t="str">
        <x:v>INFaaS on nonidentical EC2 setup</x:v>
      </x:c>
      <x:c r="G4" s="3" t="str">
        <x:v>One V10032GB in section6.1</x:v>
      </x:c>
      <x:c r="H4" s="3" t="str">
        <x:v>15 ResNet50 instances;16 clients/model;500ms SLO</x:v>
      </x:c>
      <x:c r="I4" s="3" t="str">
        <x:v>Within-SLO successes; comparator qualitative; not total throughput</x:v>
      </x:c>
      <x:c r="J4" s="3" t="str">
        <x:v>USENIX PDF pp10-11; printed pp451-452; Figure5 and section6.1</x:v>
      </x:c>
      <x:c r="K4" s="3" t="str">
        <x:v>https://people.mpi-sws.org/~antoinek/documents/20osdi_clockwork.pdf</x:v>
      </x:c>
      <x:c r="L4" s="3" t="str">
        <x:v>printed p452 section6.1/Fig5; author PDF p10</x:v>
      </x:c>
      <x:c r="M4" s="3" t="str">
        <x:v>Value verified in accessed source</x:v>
      </x:c>
      <x:c r="N4" s="3" t="d">
        <x:v>2026-10-21T09:43:49.697Z</x:v>
      </x:c>
      <x:c r="O4" s="3" t="str">
        <x:v>AI assistant under Raazia direction</x:v>
      </x:c>
    </x:row>
    <x:row r="5" ht="80" customHeight="1">
      <x:c r="A5" s="3" t="str">
        <x:v>E034</x:v>
      </x:c>
      <x:c r="B5" s="3" t="str">
        <x:v>P009</x:v>
      </x:c>
      <x:c r="C5" s="3" t="str">
        <x:v>Clockwork request latency</x:v>
      </x:c>
      <x:c r="D5" s="3" t="str">
        <x:v>approximately300</x:v>
      </x:c>
      <x:c r="E5" s="3" t="str">
        <x:v>milliseconds</x:v>
      </x:c>
      <x:c r="F5" s="3" t="str">
        <x:v>No comparative ratio</x:v>
      </x:c>
      <x:c r="G5" s="3" t="str">
        <x:v>One V10032GB in section6.1</x:v>
      </x:c>
      <x:c r="H5" s="3" t="str">
        <x:v>15 ResNet50 instances;16 clients/model;500ms SLO</x:v>
      </x:c>
      <x:c r="I5" s="3" t="str">
        <x:v>Batch16 scheduling explanation; not a p99 value</x:v>
      </x:c>
      <x:c r="J5" s="3" t="str">
        <x:v>USENIX PDF pp10-11; printed pp451-452; Figure5 and section6.1</x:v>
      </x:c>
      <x:c r="K5" s="3" t="str">
        <x:v>https://people.mpi-sws.org/~antoinek/documents/20osdi_clockwork.pdf</x:v>
      </x:c>
      <x:c r="L5" s="3" t="str">
        <x:v>printed p452 section6.1/Fig5; author PDF p10</x:v>
      </x:c>
      <x:c r="M5" s="3" t="str">
        <x:v>Value verified in accessed source</x:v>
      </x:c>
      <x:c r="N5" s="3" t="d">
        <x:v>2026-10-21T09:43:49.697Z</x:v>
      </x:c>
      <x:c r="O5" s="3" t="str">
        <x:v>AI assistant under Raazia direction</x:v>
      </x:c>
    </x:row>
    <x:row r="6" ht="80" customHeight="1">
      <x:c r="A6" s="3" t="str">
        <x:v>E035</x:v>
      </x:c>
      <x:c r="B6" s="3" t="str">
        <x:v>P010</x:v>
      </x:c>
      <x:c r="C6" s="3" t="str">
        <x:v>Average P99 inference latency improvement factor, as reported</x:v>
      </x:c>
      <x:c r="D6" s="3" t="str">
        <x:v>12.6</x:v>
      </x:c>
      <x:c r="E6" s="3" t="str">
        <x:v>x</x:v>
      </x:c>
      <x:c r="F6" s="3" t="str">
        <x:v>TaskSwitch (authors' adapted temporal-switch baseline)</x:v>
      </x:c>
      <x:c r="G6" s="3" t="str">
        <x:v>single NVIDIA Tesla V100 16GB in section6.1; four-V100 host; separate section6.6 single A100 80GB LLM experiment</x:v>
      </x:c>
      <x:c r="H6" s="3" t="str">
        <x:v>section6.1 single-V100 DNN inference+Swin-T; Light/Heavy/Burst/Skewed/MAF traces;300s</x:v>
      </x:c>
      <x:c r="I6" s="3" t="str">
        <x:v>Author-reported average across tested workloads; not a uniform per-model speedup, and not a comparison to unmodified PipeSwitch.</x:v>
      </x:c>
      <x:c r="J6" s="3" t="str">
        <x:v>USENIX PDF p11; printed p1666; Figure10 discussion</x:v>
      </x:c>
      <x:c r="K6" s="3" t="str">
        <x:v>https://www.usenix.org/system/files/atc25-wang-jiali.pdf</x:v>
      </x:c>
      <x:c r="L6" s="3" t="str">
        <x:v>printed p1666, section6.1/Figure10 discussion; PDF p11</x:v>
      </x:c>
      <x:c r="M6" s="3" t="str">
        <x:v>Value verified in accessed source</x:v>
      </x:c>
      <x:c r="N6" s="3" t="d">
        <x:v>2026-10-21T09:43:49.697Z</x:v>
      </x:c>
      <x:c r="O6" s="3" t="str">
        <x:v>AI assistant under Raazia direction</x:v>
      </x:c>
    </x:row>
    <x:row r="7" ht="80" customHeight="1">
      <x:c r="A7" s="3" t="str">
        <x:v>E036</x:v>
      </x:c>
      <x:c r="B7" s="3" t="str">
        <x:v>P011</x:v>
      </x:c>
      <x:c r="C7" s="3" t="str">
        <x:v>Reported throughput</x:v>
      </x:c>
      <x:c r="D7" s="3" t="str">
        <x:v>446</x:v>
      </x:c>
      <x:c r="E7" s="3" t="str">
        <x:v>requests/s</x:v>
      </x:c>
      <x:c r="F7" s="3" t="str">
        <x:v>same configuration with1 process (354requests/s)</x:v>
      </x:c>
      <x:c r="G7" s="3" t="str">
        <x:v>A10080GB; Amazon p4de.24xlarge hosts with8 GPUs; extracted profiler point concerns one MIG segment</x:v>
      </x:c>
      <x:c r="H7" s="3" t="str">
        <x:v>InceptionV3,1-GPC MIG instance,batch4;3 MPS processes</x:v>
      </x:c>
      <x:c r="I7" s="3" t="str">
        <x:v>One local configuration, not fleet savings. Source is arXivv1; final published version not verified.</x:v>
      </x:c>
      <x:c r="J7" s="3" t="str">
        <x:v>arXiv v1 PDF p5; sectionIII-B; Figures3-4 on p4</x:v>
      </x:c>
      <x:c r="K7" s="3" t="str">
        <x:v>https://arxiv.org/pdf/2409.14447</x:v>
      </x:c>
      <x:c r="L7" s="3" t="str">
        <x:v>author preprint PDF p5, sectionIII-B prose; Figure3 p4</x:v>
      </x:c>
      <x:c r="M7" s="3" t="str">
        <x:v>Value verified in accessed source</x:v>
      </x:c>
      <x:c r="N7" s="3" t="d">
        <x:v>2026-10-21T09:43:49.697Z</x:v>
      </x:c>
      <x:c r="O7" s="3" t="str">
        <x:v>AI assistant under Raazia direction</x:v>
      </x:c>
    </x:row>
    <x:row r="8" ht="80" customHeight="1">
      <x:c r="A8" s="3" t="str">
        <x:v>E037</x:v>
      </x:c>
      <x:c r="B8" s="3" t="str">
        <x:v>P011</x:v>
      </x:c>
      <x:c r="C8" s="3" t="str">
        <x:v>Reported inference latency; quantile unspecified</x:v>
      </x:c>
      <x:c r="D8" s="3" t="str">
        <x:v>27</x:v>
      </x:c>
      <x:c r="E8" s="3" t="str">
        <x:v>ms</x:v>
      </x:c>
      <x:c r="F8" s="3" t="str">
        <x:v>same configuration with1 process (11ms)</x:v>
      </x:c>
      <x:c r="G8" s="3" t="str">
        <x:v>A10080GB; Amazon p4de.24xlarge hosts with8 GPUs; extracted profiler point concerns one MIG segment</x:v>
      </x:c>
      <x:c r="H8" s="3" t="str">
        <x:v>InceptionV3,1-GPC MIG instance,batch4;3 MPS processes</x:v>
      </x:c>
      <x:c r="I8" s="3" t="str">
        <x:v>Quantile/arrival model not established for this profiler point; do not label p99. Value is specific to the accessed author manuscript.</x:v>
      </x:c>
      <x:c r="J8" s="3" t="str">
        <x:v>arXiv v1 PDF p5; sectionIII-B; Figures3-4 on p4</x:v>
      </x:c>
      <x:c r="K8" s="3" t="str">
        <x:v>https://arxiv.org/pdf/2409.14447</x:v>
      </x:c>
      <x:c r="L8" s="3" t="str">
        <x:v>author preprint PDF p5, sectionIII-B prose; Figure4 p4</x:v>
      </x:c>
      <x:c r="M8" s="3" t="str">
        <x:v>Value verified in accessed source</x:v>
      </x:c>
      <x:c r="N8" s="3" t="d">
        <x:v>2026-10-21T09:43:49.697Z</x:v>
      </x:c>
      <x:c r="O8" s="3" t="str">
        <x:v>AI assistant under Raazia direction</x:v>
      </x:c>
    </x:row>
    <x:row r="9" ht="80" customHeight="1">
      <x:c r="A9" s="3" t="str">
        <x:v>E038</x:v>
      </x:c>
      <x:c r="B9" s="3" t="str">
        <x:v>P012</x:v>
      </x:c>
      <x:c r="C9" s="3" t="str">
        <x:v>Reported single-GPU throughput factor</x:v>
      </x:c>
      <x:c r="D9" s="3" t="str">
        <x:v>&gt;10</x:v>
      </x:c>
      <x:c r="E9" s="3" t="str">
        <x:v>x</x:v>
      </x:c>
      <x:c r="F9" s="3" t="str">
        <x:v>Native early binding at same offered function rate</x:v>
      </x:c>
      <x:c r="G9" s="3" t="str">
        <x:v>single V10032GB in local Figure8; evaluation worker has4 V10032GB GPUs</x:v>
      </x:c>
      <x:c r="H9" s="3" t="str">
        <x:v>multiple ResNet152 functions on one V10032GB;10requests/minute/function</x:v>
      </x:c>
      <x:c r="I9" s="3" t="str">
        <x:v>Lower bound reported by authors, not an exact10x; function count varies to saturate memory. No fleet cost claim.</x:v>
      </x:c>
      <x:c r="J9" s="3" t="str">
        <x:v>USENIX PDF pp10-11; printed pp605-606; Figure8 and section7.2</x:v>
      </x:c>
      <x:c r="K9" s="3" t="str">
        <x:v>https://www.usenix.org/system/files/atc25-yu.pdf</x:v>
      </x:c>
      <x:c r="L9" s="3" t="str">
        <x:v>p606 section7.2; Figure8 p605; PDF pp10-11</x:v>
      </x:c>
      <x:c r="M9" s="3" t="str">
        <x:v>Value verified in accessed source</x:v>
      </x:c>
      <x:c r="N9" s="3" t="d">
        <x:v>2026-10-21T09:43:49.697Z</x:v>
      </x:c>
      <x:c r="O9" s="3" t="str">
        <x:v>AI assistant under Raazia direction</x:v>
      </x:c>
    </x:row>
    <x:row r="10" ht="80" customHeight="1">
      <x:c r="A10" s="3" t="str">
        <x:v>E039</x:v>
      </x:c>
      <x:c r="B10" s="3" t="str">
        <x:v>P012</x:v>
      </x:c>
      <x:c r="C10" s="3" t="str">
        <x:v>Reported P98 latency upper bound</x:v>
      </x:c>
      <x:c r="D10" s="3" t="str">
        <x:v>&lt;50</x:v>
      </x:c>
      <x:c r="E10" s="3" t="str">
        <x:v>ms</x:v>
      </x:c>
      <x:c r="F10" s="3" t="str">
        <x:v>Native under matched request-rate setting</x:v>
      </x:c>
      <x:c r="G10" s="3" t="str">
        <x:v>single V10032GB in local Figure8; evaluation worker has4 V10032GB GPUs</x:v>
      </x:c>
      <x:c r="H10" s="3" t="str">
        <x:v>same single-GPU low-rate ResNet152 test,10-80requests/minute/function</x:v>
      </x:c>
      <x:c r="I10" s="3" t="str">
        <x:v>Bound from text, not a digitized point; default98th percentile from section7 metrics. Applies to this workload.</x:v>
      </x:c>
      <x:c r="J10" s="3" t="str">
        <x:v>USENIX PDF pp10-11; printed pp605-606; default P98 metrics and section7.2</x:v>
      </x:c>
      <x:c r="K10" s="3" t="str">
        <x:v>https://www.usenix.org/system/files/atc25-yu.pdf</x:v>
      </x:c>
      <x:c r="L10" s="3" t="str">
        <x:v>p606 section7.2; Figure8 p605; PDF pp10-11</x:v>
      </x:c>
      <x:c r="M10" s="3" t="str">
        <x:v>Value verified in accessed source</x:v>
      </x:c>
      <x:c r="N10" s="3" t="d">
        <x:v>2026-10-21T09:43:49.697Z</x:v>
      </x:c>
      <x:c r="O10" s="3" t="str">
        <x:v>AI assistant under Raazia direction</x:v>
      </x:c>
    </x:row>
    <x:row r="11" ht="80" customHeight="1">
      <x:c r="A11" s="3" t="str">
        <x:v>E040</x:v>
      </x:c>
      <x:c r="B11" s="3" t="str">
        <x:v>P013</x:v>
      </x:c>
      <x:c r="C11" s="3" t="str">
        <x:v>Author-reported average throughput factor</x:v>
      </x:c>
      <x:c r="D11" s="3" t="str">
        <x:v>6.7</x:v>
      </x:c>
      <x:c r="E11" s="3" t="str">
        <x:v>x</x:v>
      </x:c>
      <x:c r="F11" s="3" t="str">
        <x:v>INFless with documented warm-up/pipelined loading/model sharing</x:v>
      </x:c>
      <x:c r="G11" s="3" t="str">
        <x:v>V10016GB,80CUs; host has4 GPUs; single-GPU multi-user test in section9.4</x:v>
      </x:c>
      <x:c r="H11" s="3" t="str">
        <x:v>three workflow types,PyTorch/TensorFlow,Azure-derived invocation patterns; evaluated V100 setup</x:v>
      </x:c>
      <x:c r="I11" s="3" t="str">
        <x:v>Aggregate within-paper result across tested workflows; not universal or a matched cross-paper speedup. Batch/concurrency optimizations contribute.</x:v>
      </x:c>
      <x:c r="J11" s="3" t="str">
        <x:v>USENIX PDF p11; printed p68; section9.1; Figure13</x:v>
      </x:c>
      <x:c r="K11" s="3" t="str">
        <x:v>https://www.usenix.org/system/files/atc24-wu-hao.pdf</x:v>
      </x:c>
      <x:c r="L11" s="3" t="str">
        <x:v>p68 section9.1/Figure13; PDF p11</x:v>
      </x:c>
      <x:c r="M11" s="3" t="str">
        <x:v>Value verified in accessed source</x:v>
      </x:c>
      <x:c r="N11" s="3" t="d">
        <x:v>2026-10-21T09:43:49.697Z</x:v>
      </x:c>
      <x:c r="O11" s="3" t="str">
        <x:v>AI assistant under Raazia direction</x:v>
      </x:c>
    </x:row>
    <x:row r="12" ht="80" customHeight="1">
      <x:c r="A12" s="3" t="str">
        <x:v>E041</x:v>
      </x:c>
      <x:c r="B12" s="3" t="str">
        <x:v>P013</x:v>
      </x:c>
      <x:c r="C12" s="3" t="str">
        <x:v>Reported API-forwarding overhead range</x:v>
      </x:c>
      <x:c r="D12" s="3" t="str">
        <x:v>3-5</x:v>
      </x:c>
      <x:c r="E12" s="3" t="str">
        <x:v>microseconds</x:v>
      </x:c>
      <x:c r="F12" s="3" t="str">
        <x:v>direct API path; instrumentation overhead measurement</x:v>
      </x:c>
      <x:c r="G12" s="3" t="str">
        <x:v>V10016GB,80CUs; host has4 GPUs; single-GPU multi-user test in section9.4</x:v>
      </x:c>
      <x:c r="H12" s="3" t="str">
        <x:v>GPU API forwarding with48concurrent functions on one GPU</x:v>
      </x:c>
      <x:c r="I12" s="3" t="str">
        <x:v>Per-API overhead, not end-to-end inference latency; many APIs asynchronous.</x:v>
      </x:c>
      <x:c r="J12" s="3" t="str">
        <x:v>USENIX PDF p13; printed p70; section9.3; Figure18</x:v>
      </x:c>
      <x:c r="K12" s="3" t="str">
        <x:v>https://www.usenix.org/system/files/atc24-wu-hao.pdf</x:v>
      </x:c>
      <x:c r="L12" s="3" t="str">
        <x:v>p70 section9.3/Figure18; PDF p13</x:v>
      </x:c>
      <x:c r="M12" s="3" t="str">
        <x:v>Value verified in accessed source</x:v>
      </x:c>
      <x:c r="N12" s="3" t="d">
        <x:v>2026-10-21T09:43:49.697Z</x:v>
      </x:c>
      <x:c r="O12" s="3" t="str">
        <x:v>AI assistant under Raazia direction</x:v>
      </x:c>
    </x:row>
    <x:row r="13" ht="80" customHeight="1">
      <x:c r="A13" s="3" t="str">
        <x:v>E042</x:v>
      </x:c>
      <x:c r="B13" s="3" t="str">
        <x:v>P014</x:v>
      </x:c>
      <x:c r="C13" s="3" t="str">
        <x:v>Reported average QoS violation rate</x:v>
      </x:c>
      <x:c r="D13" s="3" t="str">
        <x:v>1.23</x:v>
      </x:c>
      <x:c r="E13" s="3" t="str">
        <x:v>percent of requests</x:v>
      </x:c>
      <x:c r="F13" s="3" t="str">
        <x:v>original soloP99 threshold (1%baseline violations by definition)</x:v>
      </x:c>
      <x:c r="G13" s="3" t="str">
        <x:v>A10040GB for local quota/QoS tests; twoRTX4090 used for separate distributed-training test</x:v>
      </x:c>
      <x:c r="H13" s="3" t="str">
        <x:v>Transformer-XL inference; batch8/16/32. Original rate is half solo maximum; shared test halves that rate again and assigns 50% time; tokens5-80ms.</x:v>
      </x:c>
      <x:c r="I13" s="3" t="str">
        <x:v>Average across tested configurations; no claim that worst-case violation is1.23%. Threshold-relative metric, not latency in milliseconds.</x:v>
      </x:c>
      <x:c r="J13" s="3" t="str">
        <x:v>USENIX PDF pp12-13; printed pp1013-1014; section5.5; Figure17</x:v>
      </x:c>
      <x:c r="K13" s="3" t="str">
        <x:v>https://www.usenix.org/system/files/atc25-zhang-shulai.pdf</x:v>
      </x:c>
      <x:c r="L13" s="3" t="str">
        <x:v>p1014 section5.5/Figure17; PDF p13</x:v>
      </x:c>
      <x:c r="M13" s="3" t="str">
        <x:v>Value verified; offered-load context corrected</x:v>
      </x:c>
      <x:c r="N13" s="3" t="d">
        <x:v>2026-10-21T09:43:49.697Z</x:v>
      </x:c>
      <x:c r="O13" s="3" t="str">
        <x:v>AI assistant under Raazia direction</x:v>
      </x:c>
    </x:row>
    <x:row r="14" ht="80" customHeight="1">
      <x:c r="A14" s="3" t="str">
        <x:v>E043</x:v>
      </x:c>
      <x:c r="B14" s="3" t="str">
        <x:v>P014</x:v>
      </x:c>
      <x:c r="C14" s="3" t="str">
        <x:v>Reported kernel module host-memory footprint</x:v>
      </x:c>
      <x:c r="D14" s="3" t="str">
        <x:v>4.8</x:v>
      </x:c>
      <x:c r="E14" s="3" t="str">
        <x:v>MB</x:v>
      </x:c>
      <x:c r="F14" s="3" t="str">
        <x:v>no module; additional host memory cost</x:v>
      </x:c>
      <x:c r="G14" s="3" t="str">
        <x:v>A10040GB for local quota/QoS tests; twoRTX4090 used for separate distributed-training test</x:v>
      </x:c>
      <x:c r="H14" s="3" t="str">
        <x:v>kernel-space GPU sharing module on evaluated Linux host</x:v>
      </x:c>
      <x:c r="I14" s="3" t="str">
        <x:v>Host memory, not GPU VRAM; separate monitoring thread also required.</x:v>
      </x:c>
      <x:c r="J14" s="3" t="str">
        <x:v>USENIX PDF p13; printed p1014; section5.7</x:v>
      </x:c>
      <x:c r="K14" s="3" t="str">
        <x:v>https://www.usenix.org/system/files/atc25-zhang-shulai.pdf</x:v>
      </x:c>
      <x:c r="L14" s="3" t="str">
        <x:v>p1014 section5.7; PDF p13</x:v>
      </x:c>
      <x:c r="M14" s="3" t="str">
        <x:v>Value verified in accessed source</x:v>
      </x:c>
      <x:c r="N14" s="3" t="d">
        <x:v>2026-10-21T09:43:49.697Z</x:v>
      </x:c>
      <x:c r="O14" s="3" t="str">
        <x:v>AI assistant under Raazia direction</x:v>
      </x:c>
    </x:row>
  </x:sheetData>
  <x:pageMargins left="0.7" right="0.7" top="0.75" bottom="0.75" header="0.3" footer="0.3"/>
  <x:tableParts count="1">
    <x:tablePart xmlns:r="http://schemas.openxmlformats.org/officeDocument/2006/relationships" r:id="Rb61ead01834c46f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3" hidden="0" customWidth="1"/>
    <x:col min="2" max="2" width="22" hidden="0" customWidth="1"/>
    <x:col min="3" max="3" width="28" hidden="0" customWidth="1"/>
    <x:col min="4" max="4" width="65" hidden="0" customWidth="1"/>
    <x:col min="5" max="5" width="95" hidden="0" customWidth="1"/>
    <x:col min="6" max="6" width="65" hidden="0" customWidth="1"/>
  </x:cols>
  <x:sheetData>
    <x:row r="1" ht="42" customHeight="1">
      <x:c r="A1" s="5" t="str">
        <x:v>Change ID</x:v>
      </x:c>
      <x:c r="B1" s="5" t="str">
        <x:v>Scope</x:v>
      </x:c>
      <x:c r="C1" s="5" t="str">
        <x:v>Field</x:v>
      </x:c>
      <x:c r="D1" s="5" t="str">
        <x:v>Original</x:v>
      </x:c>
      <x:c r="E1" s="5" t="str">
        <x:v>Reviewed treatment</x:v>
      </x:c>
      <x:c r="F1" s="5" t="str">
        <x:v>Evidence</x:v>
      </x:c>
    </x:row>
    <x:row r="2" ht="80" customHeight="1">
      <x:c r="A2" s="3" t="str">
        <x:v>R01</x:v>
      </x:c>
      <x:c r="B2" s="3" t="str">
        <x:v>P008</x:v>
      </x:c>
      <x:c r="C2" s="3" t="str">
        <x:v>Reading copy</x:v>
      </x:c>
      <x:c r="D2" s="3" t="str">
        <x:v>Saved local PDF unreadable</x:v>
      </x:c>
      <x:c r="E2" s="3" t="str">
        <x:v>Recovered a readable 15-page academic-mirror copy; kept old bytes separately</x:v>
      </x:c>
      <x:c r="F2" s="3" t="str">
        <x:v>File parsing and title/DOI checks</x:v>
      </x:c>
    </x:row>
    <x:row r="3" ht="80" customHeight="1">
      <x:c r="A3" s="3" t="str">
        <x:v>R02</x:v>
      </x:c>
      <x:c r="B3" s="3" t="str">
        <x:v>P009 E033/E034</x:v>
      </x:c>
      <x:c r="C3" s="3" t="str">
        <x:v>Evidence anchor</x:v>
      </x:c>
      <x:c r="D3" s="3" t="str">
        <x:v>Author-copy page10 inherited</x:v>
      </x:c>
      <x:c r="E3" s="3" t="str">
        <x:v>Use accessed USENIX PDF pp10-11, printed451-452</x:v>
      </x:c>
      <x:c r="F3" s="3" t="str">
        <x:v>Figure5 and section6.1</x:v>
      </x:c>
    </x:row>
    <x:row r="4" ht="80" customHeight="1">
      <x:c r="A4" s="3" t="str">
        <x:v>R03</x:v>
      </x:c>
      <x:c r="B4" s="3" t="str">
        <x:v>P009</x:v>
      </x:c>
      <x:c r="C4" s="3" t="str">
        <x:v>Runtime extraction</x:v>
      </x:c>
      <x:c r="D4" s="3" t="str">
        <x:v>Software versions not assessed</x:v>
      </x:c>
      <x:c r="E4" s="3" t="str">
        <x:v>TVMv0.7 reported; preserve missing OS/driver distinctions</x:v>
      </x:c>
      <x:c r="F4" s="3" t="str">
        <x:v>PDF pp4,7; Table1; section5</x:v>
      </x:c>
    </x:row>
    <x:row r="5" ht="80" customHeight="1">
      <x:c r="A5" s="3" t="str">
        <x:v>R04</x:v>
      </x:c>
      <x:c r="B5" s="3" t="str">
        <x:v>P009 Q3</x:v>
      </x:c>
      <x:c r="C5" s="3" t="str">
        <x:v>QA rationale</x:v>
      </x:c>
      <x:c r="D5" s="3" t="str">
        <x:v>Repetition count unclear</x:v>
      </x:c>
      <x:c r="E5" s="3" t="str">
        <x:v>Scaling experiment has three repetitions; retained local Figure5 repetitions unspecified</x:v>
      </x:c>
      <x:c r="F5" s="3" t="str">
        <x:v>PDF p14 section6.6; pp10-11 section6.1</x:v>
      </x:c>
    </x:row>
    <x:row r="6" ht="80" customHeight="1">
      <x:c r="A6" s="3" t="str">
        <x:v>R05</x:v>
      </x:c>
      <x:c r="B6" s="3" t="str">
        <x:v>P009 Q4/Q9</x:v>
      </x:c>
      <x:c r="C6" s="3" t="str">
        <x:v>QA reappraisal</x:v>
      </x:c>
      <x:c r="D6" s="3" t="str">
        <x:v>1/2 for both</x:v>
      </x:c>
      <x:c r="E6" s="3" t="str">
        <x:v>2/2 for both: hardware/compiler/workload documented; performance isolation evaluated within explicit boundary</x:v>
      </x:c>
      <x:c r="F6" s="3" t="str">
        <x:v>Submitted rubric Table8; source anchors in QA review</x:v>
      </x:c>
    </x:row>
    <x:row r="7" ht="80" customHeight="1">
      <x:c r="A7" s="3" t="str">
        <x:v>R06</x:v>
      </x:c>
      <x:c r="B7" s="3" t="str">
        <x:v>P013 Q4/Q9</x:v>
      </x:c>
      <x:c r="C7" s="3" t="str">
        <x:v>QA reappraisal</x:v>
      </x:c>
      <x:c r="D7" s="3" t="str">
        <x:v>1/2 for both</x:v>
      </x:c>
      <x:c r="E7" s="3" t="str">
        <x:v>2/2 for both: hardware/framework/workload documented; trust assumptions and scope explicitly delimited</x:v>
      </x:c>
      <x:c r="F7" s="3" t="str">
        <x:v>Submitted rubric Table8; source anchors in QA review</x:v>
      </x:c>
    </x:row>
    <x:row r="8" ht="80" customHeight="1">
      <x:c r="A8" s="3" t="str">
        <x:v>R07</x:v>
      </x:c>
      <x:c r="B8" s="3" t="str">
        <x:v>P012</x:v>
      </x:c>
      <x:c r="C8" s="3" t="str">
        <x:v>Isolation/fault extraction</x:v>
      </x:c>
      <x:c r="D8" s="3" t="str">
        <x:v>Not assessed in retained extract</x:v>
      </x:c>
      <x:c r="E8" s="3" t="str">
        <x:v>Section4.5 describes two runtime modes and recovery; section7 uses sharing mode, section8 isolation mode; direct fault-test evidence not established</x:v>
      </x:c>
      <x:c r="F8" s="3" t="str">
        <x:v>PDF pp7,9; sections4.5,7-8</x:v>
      </x:c>
    </x:row>
    <x:row r="9" ht="80" customHeight="1">
      <x:c r="A9" s="3" t="str">
        <x:v>R08</x:v>
      </x:c>
      <x:c r="B9" s="3" t="str">
        <x:v>P014 E042</x:v>
      </x:c>
      <x:c r="C9" s="3" t="str">
        <x:v>Offered-load context</x:v>
      </x:c>
      <x:c r="D9" s="3" t="str">
        <x:v>Poisson rate half maximum in shared test</x:v>
      </x:c>
      <x:c r="E9" s="3" t="str">
        <x:v>Initial rate half solo maximum; shared test halves it again for50% allocation</x:v>
      </x:c>
      <x:c r="F9" s="3" t="str">
        <x:v>PDF pp12-13 section5.5</x:v>
      </x:c>
    </x:row>
    <x:row r="10" ht="80" customHeight="1">
      <x:c r="A10" s="3" t="str">
        <x:v>R09</x:v>
      </x:c>
      <x:c r="B10" s="3" t="str">
        <x:v>P009/P012/P014 Q10</x:v>
      </x:c>
      <x:c r="C10" s="3" t="str">
        <x:v>QA rationale</x:v>
      </x:c>
      <x:c r="D10" s="3" t="str">
        <x:v>Artifact/reproduction wording used inconsistently</x:v>
      </x:c>
      <x:c r="E10" s="3" t="str">
        <x:v>Appraise source replication information; do not penalize a paper merely because this review did not rerun it</x:v>
      </x:c>
      <x:c r="F10" s="3" t="str">
        <x:v>Protocol Q10; revised QA rationales</x:v>
      </x:c>
    </x:row>
    <x:row r="11" ht="80" customHeight="1">
      <x:c r="A11" s="3" t="str">
        <x:v>R10</x:v>
      </x:c>
      <x:c r="B11" s="3" t="str">
        <x:v>P008-P014</x:v>
      </x:c>
      <x:c r="C11" s="3" t="str">
        <x:v>Bibliography</x:v>
      </x:c>
      <x:c r="D11" s="3" t="str">
        <x:v>Generic misc entries and abbreviated authors</x:v>
      </x:c>
      <x:c r="E11" s="3" t="str">
        <x:v>Create full-author conference entries; label ParvaGPU accessed manuscript separately</x:v>
      </x:c>
      <x:c r="F11" s="3" t="str">
        <x:v>Accessed PDF title pages and SC24/author record</x:v>
      </x:c>
    </x:row>
    <x:row r="12" ht="80" customHeight="1">
      <x:c r="A12" s="3" t="str">
        <x:v>R11</x:v>
      </x:c>
      <x:c r="B12" s="3" t="str">
        <x:v>P011</x:v>
      </x:c>
      <x:c r="C12" s="3" t="str">
        <x:v>Version record</x:v>
      </x:c>
      <x:c r="D12" s="3" t="str">
        <x:v>Published/preprint relationship uncertain</x:v>
      </x:c>
      <x:c r="E12" s="3" t="str">
        <x:v>Publication identity confirmed; numerical check remains explicitly scoped to arXivv1</x:v>
      </x:c>
      <x:c r="F12" s="3" t="str">
        <x:v>SC24 official record and accessed arXivv1</x:v>
      </x:c>
    </x:row>
    <x:row r="13" ht="80" customHeight="1">
      <x:c r="A13" s="3" t="str">
        <x:v>R12</x:v>
      </x:c>
      <x:c r="B13" s="3" t="str">
        <x:v>Review attribution</x:v>
      </x:c>
      <x:c r="C13" s="3" t="str">
        <x:v>Reviewer identity</x:v>
      </x:c>
      <x:c r="D13" s="3" t="str">
        <x:v>User requested assistant to do assigned work</x:v>
      </x:c>
      <x:c r="E13" s="3" t="str">
        <x:v>Record AI assistant under Raazia direction; independent human vote left blank</x:v>
      </x:c>
      <x:c r="F13" s="3" t="str">
        <x:v>Actual review method</x:v>
      </x:c>
    </x:row>
  </x:sheetData>
  <x:pageMargins left="0.7" right="0.7" top="0.75" bottom="0.75" header="0.3" footer="0.3"/>
  <x:tableParts count="1">
    <x:tablePart xmlns:r="http://schemas.openxmlformats.org/officeDocument/2006/relationships" r:id="Rf05fe28bdfb34b11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2" hidden="0" customWidth="1"/>
  </x:cols>
  <x:sheetData>
    <x:row r="1" ht="42" customHeight="1">
      <x:c r="A1" s="5" t="str">
        <x:v>Study ID</x:v>
      </x:c>
      <x:c r="B1" s="5" t="str">
        <x:v>Report ID</x:v>
      </x:c>
      <x:c r="C1" s="5" t="str">
        <x:v>Original QA</x:v>
      </x:c>
      <x:c r="D1" s="5" t="str">
        <x:v>Reviewed QA</x:v>
      </x:c>
      <x:c r="E1" s="5" t="str">
        <x:v>Maximum</x:v>
      </x:c>
      <x:c r="F1" s="5" t="str">
        <x:v>Change</x:v>
      </x:c>
      <x:c r="G1" s="5" t="str">
        <x:v>Checked outcomes</x:v>
      </x:c>
    </x:row>
    <x:row r="2" ht="30" customHeight="1">
      <x:c r="A2" s="3" t="str">
        <x:v>S008</x:v>
      </x:c>
      <x:c r="B2" s="3" t="str">
        <x:v>P008</x:v>
      </x:c>
      <x:c r="C2" s="3" t="n">
        <x:v>17</x:v>
      </x:c>
      <x:c r="D2" s="3" t="n">
        <x:f>SUMIF('QA Review'!$A$2:$A$71,B2,'QA Review'!$D$2:$D$71)</x:f>
        <x:v>17</x:v>
      </x:c>
      <x:c r="E2" s="3" t="n">
        <x:v>20</x:v>
      </x:c>
      <x:c r="F2" s="3" t="n">
        <x:f>D2-C2</x:f>
        <x:v>0</x:v>
      </x:c>
      <x:c r="G2" s="3" t="n">
        <x:f>COUNTIF('Outcome Review'!$B$2:$B$14,B2)</x:f>
        <x:v>2</x:v>
      </x:c>
    </x:row>
    <x:row r="3" ht="30" customHeight="1">
      <x:c r="A3" s="3" t="str">
        <x:v>S009</x:v>
      </x:c>
      <x:c r="B3" s="3" t="str">
        <x:v>P009</x:v>
      </x:c>
      <x:c r="C3" s="3" t="n">
        <x:v>16</x:v>
      </x:c>
      <x:c r="D3" s="3" t="n">
        <x:f>SUMIF('QA Review'!$A$2:$A$71,B3,'QA Review'!$D$2:$D$71)</x:f>
        <x:v>18</x:v>
      </x:c>
      <x:c r="E3" s="3" t="n">
        <x:v>20</x:v>
      </x:c>
      <x:c r="F3" s="3" t="n">
        <x:f>D3-C3</x:f>
        <x:v>2</x:v>
      </x:c>
      <x:c r="G3" s="3" t="n">
        <x:f>COUNTIF('Outcome Review'!$B$2:$B$14,B3)</x:f>
        <x:v>2</x:v>
      </x:c>
    </x:row>
    <x:row r="4" ht="30" customHeight="1">
      <x:c r="A4" s="3" t="str">
        <x:v>S010</x:v>
      </x:c>
      <x:c r="B4" s="3" t="str">
        <x:v>P010</x:v>
      </x:c>
      <x:c r="C4" s="3" t="n">
        <x:v>17</x:v>
      </x:c>
      <x:c r="D4" s="3" t="n">
        <x:f>SUMIF('QA Review'!$A$2:$A$71,B4,'QA Review'!$D$2:$D$71)</x:f>
        <x:v>17</x:v>
      </x:c>
      <x:c r="E4" s="3" t="n">
        <x:v>20</x:v>
      </x:c>
      <x:c r="F4" s="3" t="n">
        <x:f>D4-C4</x:f>
        <x:v>0</x:v>
      </x:c>
      <x:c r="G4" s="3" t="n">
        <x:f>COUNTIF('Outcome Review'!$B$2:$B$14,B4)</x:f>
        <x:v>1</x:v>
      </x:c>
    </x:row>
    <x:row r="5" ht="30" customHeight="1">
      <x:c r="A5" s="3" t="str">
        <x:v>S011</x:v>
      </x:c>
      <x:c r="B5" s="3" t="str">
        <x:v>P011</x:v>
      </x:c>
      <x:c r="C5" s="3" t="n">
        <x:v>14</x:v>
      </x:c>
      <x:c r="D5" s="3" t="n">
        <x:f>SUMIF('QA Review'!$A$2:$A$71,B5,'QA Review'!$D$2:$D$71)</x:f>
        <x:v>14</x:v>
      </x:c>
      <x:c r="E5" s="3" t="n">
        <x:v>20</x:v>
      </x:c>
      <x:c r="F5" s="3" t="n">
        <x:f>D5-C5</x:f>
        <x:v>0</x:v>
      </x:c>
      <x:c r="G5" s="3" t="n">
        <x:f>COUNTIF('Outcome Review'!$B$2:$B$14,B5)</x:f>
        <x:v>2</x:v>
      </x:c>
    </x:row>
    <x:row r="6" ht="30" customHeight="1">
      <x:c r="A6" s="3" t="str">
        <x:v>S012</x:v>
      </x:c>
      <x:c r="B6" s="3" t="str">
        <x:v>P012</x:v>
      </x:c>
      <x:c r="C6" s="3" t="n">
        <x:v>15</x:v>
      </x:c>
      <x:c r="D6" s="3" t="n">
        <x:f>SUMIF('QA Review'!$A$2:$A$71,B6,'QA Review'!$D$2:$D$71)</x:f>
        <x:v>15</x:v>
      </x:c>
      <x:c r="E6" s="3" t="n">
        <x:v>20</x:v>
      </x:c>
      <x:c r="F6" s="3" t="n">
        <x:f>D6-C6</x:f>
        <x:v>0</x:v>
      </x:c>
      <x:c r="G6" s="3" t="n">
        <x:f>COUNTIF('Outcome Review'!$B$2:$B$14,B6)</x:f>
        <x:v>2</x:v>
      </x:c>
    </x:row>
    <x:row r="7" ht="30" customHeight="1">
      <x:c r="A7" s="3" t="str">
        <x:v>S013</x:v>
      </x:c>
      <x:c r="B7" s="3" t="str">
        <x:v>P013</x:v>
      </x:c>
      <x:c r="C7" s="3" t="n">
        <x:v>15</x:v>
      </x:c>
      <x:c r="D7" s="3" t="n">
        <x:f>SUMIF('QA Review'!$A$2:$A$71,B7,'QA Review'!$D$2:$D$71)</x:f>
        <x:v>17</x:v>
      </x:c>
      <x:c r="E7" s="3" t="n">
        <x:v>20</x:v>
      </x:c>
      <x:c r="F7" s="3" t="n">
        <x:f>D7-C7</x:f>
        <x:v>2</x:v>
      </x:c>
      <x:c r="G7" s="3" t="n">
        <x:f>COUNTIF('Outcome Review'!$B$2:$B$14,B7)</x:f>
        <x:v>2</x:v>
      </x:c>
    </x:row>
    <x:row r="8" ht="30" customHeight="1">
      <x:c r="A8" s="3" t="str">
        <x:v>S014</x:v>
      </x:c>
      <x:c r="B8" s="3" t="str">
        <x:v>P014</x:v>
      </x:c>
      <x:c r="C8" s="3" t="n">
        <x:v>16</x:v>
      </x:c>
      <x:c r="D8" s="3" t="n">
        <x:f>SUMIF('QA Review'!$A$2:$A$71,B8,'QA Review'!$D$2:$D$71)</x:f>
        <x:v>16</x:v>
      </x:c>
      <x:c r="E8" s="3" t="n">
        <x:v>20</x:v>
      </x:c>
      <x:c r="F8" s="3" t="n">
        <x:f>D8-C8</x:f>
        <x:v>0</x:v>
      </x:c>
      <x:c r="G8" s="3" t="n">
        <x:f>COUNTIF('Outcome Review'!$B$2:$B$14,B8)</x:f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08f7a92ae962480c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8" hidden="0" customWidth="1"/>
    <x:col min="5" max="5" width="65" hidden="0" customWidth="1"/>
    <x:col min="6" max="6" width="65" hidden="0" customWidth="1"/>
    <x:col min="7" max="7" width="28" hidden="0" customWidth="1"/>
    <x:col min="8" max="8" width="28" hidden="0" customWidth="1"/>
  </x:cols>
  <x:sheetData>
    <x:row r="1" ht="42" customHeight="1">
      <x:c r="A1" s="8" t="str">
        <x:v>Study ID</x:v>
      </x:c>
      <x:c r="B1" s="8" t="str">
        <x:v>Report ID</x:v>
      </x:c>
      <x:c r="C1" s="8" t="str">
        <x:v>Criterion</x:v>
      </x:c>
      <x:c r="D1" s="8" t="str">
        <x:v>Review finding</x:v>
      </x:c>
      <x:c r="E1" s="8" t="str">
        <x:v>Basis</x:v>
      </x:c>
      <x:c r="F1" s="8" t="str">
        <x:v>Anchor</x:v>
      </x:c>
      <x:c r="G1" s="8" t="str">
        <x:v>Reviewer</x:v>
      </x:c>
      <x:c r="H1" s="8" t="str">
        <x:v>Checked UTC</x:v>
      </x:c>
    </x:row>
    <x:row r="2" ht="110" customHeight="1">
      <x:c r="A2" s="3" t="str">
        <x:v>S008</x:v>
      </x:c>
      <x:c r="B2" s="3" t="str">
        <x:v>P008</x:v>
      </x:c>
      <x:c r="C2" s="3" t="str">
        <x:v>IC1</x:v>
      </x:c>
      <x:c r="D2" s="3" t="str">
        <x:v>Supported by accessed conference copy</x:v>
      </x:c>
      <x:c r="E2" s="3" t="str">
        <x:v>Conference title/authors/year matched in full text.</x:v>
      </x:c>
      <x:c r="F2" s="3" t="str">
        <x:v>PDF title/cover page</x:v>
      </x:c>
      <x:c r="G2" s="3" t="str">
        <x:v>AI assistant under Raazia direction</x:v>
      </x:c>
      <x:c r="H2" s="3" t="d">
        <x:v>2026-10-21T09:43:49.697Z</x:v>
      </x:c>
    </x:row>
    <x:row r="3" ht="110" customHeight="1">
      <x:c r="A3" s="3" t="str">
        <x:v>S008</x:v>
      </x:c>
      <x:c r="B3" s="3" t="str">
        <x:v>P008</x:v>
      </x:c>
      <x:c r="C3" s="3" t="str">
        <x:v>IC2</x:v>
      </x:c>
      <x:c r="D3" s="3" t="str">
        <x:v>Supported</x:v>
      </x:c>
      <x:c r="E3" s="3" t="str">
        <x:v>MPS allocation among concurrent inference functions</x:v>
      </x:c>
      <x:c r="F3" s="3" t="str">
        <x:v>PDF pp4-8; section3</x:v>
      </x:c>
      <x:c r="G3" s="3" t="str">
        <x:v>AI assistant under Raazia direction</x:v>
      </x:c>
      <x:c r="H3" s="3" t="d">
        <x:v>2026-10-21T09:43:49.697Z</x:v>
      </x:c>
    </x:row>
    <x:row r="4" ht="110" customHeight="1">
      <x:c r="A4" s="3" t="str">
        <x:v>S008</x:v>
      </x:c>
      <x:c r="B4" s="3" t="str">
        <x:v>P008</x:v>
      </x:c>
      <x:c r="C4" s="3" t="str">
        <x:v>IC3</x:v>
      </x:c>
      <x:c r="D4" s="3" t="str">
        <x:v>Supported</x:v>
      </x:c>
      <x:c r="E4" s="3" t="str">
        <x:v>Inference workload is explicit; training/rendering outcomes are kept separate where present.</x:v>
      </x:c>
      <x:c r="F4" s="3" t="str">
        <x:v>PDF p9; section4.2; Figure10</x:v>
      </x:c>
      <x:c r="G4" s="3" t="str">
        <x:v>AI assistant under Raazia direction</x:v>
      </x:c>
      <x:c r="H4" s="3" t="d">
        <x:v>2026-10-21T09:43:49.697Z</x:v>
      </x:c>
    </x:row>
    <x:row r="5" ht="110" customHeight="1">
      <x:c r="A5" s="3" t="str">
        <x:v>S008</x:v>
      </x:c>
      <x:c r="B5" s="3" t="str">
        <x:v>P008</x:v>
      </x:c>
      <x:c r="C5" s="3" t="str">
        <x:v>IC4</x:v>
      </x:c>
      <x:c r="D5" s="3" t="str">
        <x:v>Supported</x:v>
      </x:c>
      <x:c r="E5" s="3" t="str">
        <x:v>Retained outcome values and methods are inspectable in the accessed source.</x:v>
      </x:c>
      <x:c r="F5" s="3" t="str">
        <x:v>GSLICE PDF p9; printed p500; Table3; GSLICE PDF p10; printed p501; Table4 and section4.3</x:v>
      </x:c>
      <x:c r="G5" s="3" t="str">
        <x:v>AI assistant under Raazia direction</x:v>
      </x:c>
      <x:c r="H5" s="3" t="d">
        <x:v>2026-10-21T09:43:49.697Z</x:v>
      </x:c>
    </x:row>
    <x:row r="6" ht="110" customHeight="1">
      <x:c r="A6" s="3" t="str">
        <x:v>S008</x:v>
      </x:c>
      <x:c r="B6" s="3" t="str">
        <x:v>P008</x:v>
      </x:c>
      <x:c r="C6" s="3" t="str">
        <x:v>IC5</x:v>
      </x:c>
      <x:c r="D6" s="3" t="str">
        <x:v>Supported</x:v>
      </x:c>
      <x:c r="E6" s="3" t="str">
        <x:v>Extracted evidence concerns co-tenancy or control on one physical GPU; fleet-only outcomes not substituted.</x:v>
      </x:c>
      <x:c r="F6" s="3" t="str">
        <x:v>PDF p9; section4.2; Figure10</x:v>
      </x:c>
      <x:c r="G6" s="3" t="str">
        <x:v>AI assistant under Raazia direction</x:v>
      </x:c>
      <x:c r="H6" s="3" t="d">
        <x:v>2026-10-21T09:43:49.697Z</x:v>
      </x:c>
    </x:row>
    <x:row r="7" ht="110" customHeight="1">
      <x:c r="A7" s="3" t="str">
        <x:v>S008</x:v>
      </x:c>
      <x:c r="B7" s="3" t="str">
        <x:v>P008</x:v>
      </x:c>
      <x:c r="C7" s="3" t="str">
        <x:v>IC6</x:v>
      </x:c>
      <x:c r="D7" s="3" t="str">
        <x:v>Supported</x:v>
      </x:c>
      <x:c r="E7" s="3" t="str">
        <x:v>2020 is within the submitted2020-2026 window.</x:v>
      </x:c>
      <x:c r="F7" s="3" t="str">
        <x:v>Conference title page / source identity</x:v>
      </x:c>
      <x:c r="G7" s="3" t="str">
        <x:v>AI assistant under Raazia direction</x:v>
      </x:c>
      <x:c r="H7" s="3" t="d">
        <x:v>2026-10-21T09:43:49.697Z</x:v>
      </x:c>
    </x:row>
    <x:row r="8" ht="110" customHeight="1">
      <x:c r="A8" s="3" t="str">
        <x:v>S009</x:v>
      </x:c>
      <x:c r="B8" s="3" t="str">
        <x:v>P009</x:v>
      </x:c>
      <x:c r="C8" s="3" t="str">
        <x:v>IC1</x:v>
      </x:c>
      <x:c r="D8" s="3" t="str">
        <x:v>Supported by accessed conference copy</x:v>
      </x:c>
      <x:c r="E8" s="3" t="str">
        <x:v>Conference title/authors/year matched in full text.</x:v>
      </x:c>
      <x:c r="F8" s="3" t="str">
        <x:v>PDF title/cover page</x:v>
      </x:c>
      <x:c r="G8" s="3" t="str">
        <x:v>AI assistant under Raazia direction</x:v>
      </x:c>
      <x:c r="H8" s="3" t="d">
        <x:v>2026-10-21T09:43:49.697Z</x:v>
      </x:c>
    </x:row>
    <x:row r="9" ht="110" customHeight="1">
      <x:c r="A9" s="3" t="str">
        <x:v>S009</x:v>
      </x:c>
      <x:c r="B9" s="3" t="str">
        <x:v>P009</x:v>
      </x:c>
      <x:c r="C9" s="3" t="str">
        <x:v>IC2</x:v>
      </x:c>
      <x:c r="D9" s="3" t="str">
        <x:v>Supported</x:v>
      </x:c>
      <x:c r="E9" s="3" t="str">
        <x:v>Temporal scheduling of multiple inference models on one GPU</x:v>
      </x:c>
      <x:c r="F9" s="3" t="str">
        <x:v>PDF pp6-10; sections4-5</x:v>
      </x:c>
      <x:c r="G9" s="3" t="str">
        <x:v>AI assistant under Raazia direction</x:v>
      </x:c>
      <x:c r="H9" s="3" t="d">
        <x:v>2026-10-21T09:43:49.697Z</x:v>
      </x:c>
    </x:row>
    <x:row r="10" ht="110" customHeight="1">
      <x:c r="A10" s="3" t="str">
        <x:v>S009</x:v>
      </x:c>
      <x:c r="B10" s="3" t="str">
        <x:v>P009</x:v>
      </x:c>
      <x:c r="C10" s="3" t="str">
        <x:v>IC3</x:v>
      </x:c>
      <x:c r="D10" s="3" t="str">
        <x:v>Supported</x:v>
      </x:c>
      <x:c r="E10" s="3" t="str">
        <x:v>Inference workload is explicit; training/rendering outcomes are kept separate where present.</x:v>
      </x:c>
      <x:c r="F10" s="3" t="str">
        <x:v>PDF pp10-12; sections6.1-6.3; Figures5-7</x:v>
      </x:c>
      <x:c r="G10" s="3" t="str">
        <x:v>AI assistant under Raazia direction</x:v>
      </x:c>
      <x:c r="H10" s="3" t="d">
        <x:v>2026-10-21T09:43:49.697Z</x:v>
      </x:c>
    </x:row>
    <x:row r="11" ht="110" customHeight="1">
      <x:c r="A11" s="3" t="str">
        <x:v>S009</x:v>
      </x:c>
      <x:c r="B11" s="3" t="str">
        <x:v>P009</x:v>
      </x:c>
      <x:c r="C11" s="3" t="str">
        <x:v>IC4</x:v>
      </x:c>
      <x:c r="D11" s="3" t="str">
        <x:v>Supported</x:v>
      </x:c>
      <x:c r="E11" s="3" t="str">
        <x:v>Retained outcome values and methods are inspectable in the accessed source.</x:v>
      </x:c>
      <x:c r="F11" s="3" t="str">
        <x:v>USENIX PDF pp10-11; printed pp451-452; Figure5 and section6.1; USENIX PDF pp10-11; printed pp451-452; Figure5 and section6.1</x:v>
      </x:c>
      <x:c r="G11" s="3" t="str">
        <x:v>AI assistant under Raazia direction</x:v>
      </x:c>
      <x:c r="H11" s="3" t="d">
        <x:v>2026-10-21T09:43:49.697Z</x:v>
      </x:c>
    </x:row>
    <x:row r="12" ht="110" customHeight="1">
      <x:c r="A12" s="3" t="str">
        <x:v>S009</x:v>
      </x:c>
      <x:c r="B12" s="3" t="str">
        <x:v>P009</x:v>
      </x:c>
      <x:c r="C12" s="3" t="str">
        <x:v>IC5</x:v>
      </x:c>
      <x:c r="D12" s="3" t="str">
        <x:v>Supported</x:v>
      </x:c>
      <x:c r="E12" s="3" t="str">
        <x:v>Extracted evidence concerns co-tenancy or control on one physical GPU; fleet-only outcomes not substituted.</x:v>
      </x:c>
      <x:c r="F12" s="3" t="str">
        <x:v>PDF pp10-12; sections6.1-6.3; Figures5-7</x:v>
      </x:c>
      <x:c r="G12" s="3" t="str">
        <x:v>AI assistant under Raazia direction</x:v>
      </x:c>
      <x:c r="H12" s="3" t="d">
        <x:v>2026-10-21T09:43:49.697Z</x:v>
      </x:c>
    </x:row>
    <x:row r="13" ht="110" customHeight="1">
      <x:c r="A13" s="3" t="str">
        <x:v>S009</x:v>
      </x:c>
      <x:c r="B13" s="3" t="str">
        <x:v>P009</x:v>
      </x:c>
      <x:c r="C13" s="3" t="str">
        <x:v>IC6</x:v>
      </x:c>
      <x:c r="D13" s="3" t="str">
        <x:v>Supported</x:v>
      </x:c>
      <x:c r="E13" s="3" t="str">
        <x:v>2020 is within the submitted2020-2026 window.</x:v>
      </x:c>
      <x:c r="F13" s="3" t="str">
        <x:v>Conference title page / source identity</x:v>
      </x:c>
      <x:c r="G13" s="3" t="str">
        <x:v>AI assistant under Raazia direction</x:v>
      </x:c>
      <x:c r="H13" s="3" t="d">
        <x:v>2026-10-21T09:43:49.697Z</x:v>
      </x:c>
    </x:row>
    <x:row r="14" ht="110" customHeight="1">
      <x:c r="A14" s="3" t="str">
        <x:v>S010</x:v>
      </x:c>
      <x:c r="B14" s="3" t="str">
        <x:v>P010</x:v>
      </x:c>
      <x:c r="C14" s="3" t="str">
        <x:v>IC1</x:v>
      </x:c>
      <x:c r="D14" s="3" t="str">
        <x:v>Supported by accessed conference copy</x:v>
      </x:c>
      <x:c r="E14" s="3" t="str">
        <x:v>Conference title/authors/year matched in full text.</x:v>
      </x:c>
      <x:c r="F14" s="3" t="str">
        <x:v>PDF title/cover page</x:v>
      </x:c>
      <x:c r="G14" s="3" t="str">
        <x:v>AI assistant under Raazia direction</x:v>
      </x:c>
      <x:c r="H14" s="3" t="d">
        <x:v>2026-10-21T09:43:49.697Z</x:v>
      </x:c>
    </x:row>
    <x:row r="15" ht="110" customHeight="1">
      <x:c r="A15" s="3" t="str">
        <x:v>S010</x:v>
      </x:c>
      <x:c r="B15" s="3" t="str">
        <x:v>P010</x:v>
      </x:c>
      <x:c r="C15" s="3" t="str">
        <x:v>IC2</x:v>
      </x:c>
      <x:c r="D15" s="3" t="str">
        <x:v>Supported</x:v>
      </x:c>
      <x:c r="E15" s="3" t="str">
        <x:v>Single-GPU inference/training co-location with separable inference P99</x:v>
      </x:c>
      <x:c r="F15" s="3" t="str">
        <x:v>PDF pp5-10; sections3-5</x:v>
      </x:c>
      <x:c r="G15" s="3" t="str">
        <x:v>AI assistant under Raazia direction</x:v>
      </x:c>
      <x:c r="H15" s="3" t="d">
        <x:v>2026-10-21T09:43:49.697Z</x:v>
      </x:c>
    </x:row>
    <x:row r="16" ht="110" customHeight="1">
      <x:c r="A16" s="3" t="str">
        <x:v>S010</x:v>
      </x:c>
      <x:c r="B16" s="3" t="str">
        <x:v>P010</x:v>
      </x:c>
      <x:c r="C16" s="3" t="str">
        <x:v>IC3</x:v>
      </x:c>
      <x:c r="D16" s="3" t="str">
        <x:v>Supported</x:v>
      </x:c>
      <x:c r="E16" s="3" t="str">
        <x:v>Inference workload is explicit; training/rendering outcomes are kept separate where present.</x:v>
      </x:c>
      <x:c r="F16" s="3" t="str">
        <x:v>PDF p11; Figure10</x:v>
      </x:c>
      <x:c r="G16" s="3" t="str">
        <x:v>AI assistant under Raazia direction</x:v>
      </x:c>
      <x:c r="H16" s="3" t="d">
        <x:v>2026-10-21T09:43:49.697Z</x:v>
      </x:c>
    </x:row>
    <x:row r="17" ht="110" customHeight="1">
      <x:c r="A17" s="3" t="str">
        <x:v>S010</x:v>
      </x:c>
      <x:c r="B17" s="3" t="str">
        <x:v>P010</x:v>
      </x:c>
      <x:c r="C17" s="3" t="str">
        <x:v>IC4</x:v>
      </x:c>
      <x:c r="D17" s="3" t="str">
        <x:v>Supported</x:v>
      </x:c>
      <x:c r="E17" s="3" t="str">
        <x:v>Retained outcome values and methods are inspectable in the accessed source.</x:v>
      </x:c>
      <x:c r="F17" s="3" t="str">
        <x:v>USENIX PDF p11; printed p1666; Figure10 discussion</x:v>
      </x:c>
      <x:c r="G17" s="3" t="str">
        <x:v>AI assistant under Raazia direction</x:v>
      </x:c>
      <x:c r="H17" s="3" t="d">
        <x:v>2026-10-21T09:43:49.697Z</x:v>
      </x:c>
    </x:row>
    <x:row r="18" ht="110" customHeight="1">
      <x:c r="A18" s="3" t="str">
        <x:v>S010</x:v>
      </x:c>
      <x:c r="B18" s="3" t="str">
        <x:v>P010</x:v>
      </x:c>
      <x:c r="C18" s="3" t="str">
        <x:v>IC5</x:v>
      </x:c>
      <x:c r="D18" s="3" t="str">
        <x:v>Supported</x:v>
      </x:c>
      <x:c r="E18" s="3" t="str">
        <x:v>Extracted evidence concerns co-tenancy or control on one physical GPU; fleet-only outcomes not substituted.</x:v>
      </x:c>
      <x:c r="F18" s="3" t="str">
        <x:v>PDF p11; Figure10</x:v>
      </x:c>
      <x:c r="G18" s="3" t="str">
        <x:v>AI assistant under Raazia direction</x:v>
      </x:c>
      <x:c r="H18" s="3" t="d">
        <x:v>2026-10-21T09:43:49.697Z</x:v>
      </x:c>
    </x:row>
    <x:row r="19" ht="110" customHeight="1">
      <x:c r="A19" s="3" t="str">
        <x:v>S010</x:v>
      </x:c>
      <x:c r="B19" s="3" t="str">
        <x:v>P010</x:v>
      </x:c>
      <x:c r="C19" s="3" t="str">
        <x:v>IC6</x:v>
      </x:c>
      <x:c r="D19" s="3" t="str">
        <x:v>Supported</x:v>
      </x:c>
      <x:c r="E19" s="3" t="str">
        <x:v>2025 is within the submitted2020-2026 window.</x:v>
      </x:c>
      <x:c r="F19" s="3" t="str">
        <x:v>Conference title page / source identity</x:v>
      </x:c>
      <x:c r="G19" s="3" t="str">
        <x:v>AI assistant under Raazia direction</x:v>
      </x:c>
      <x:c r="H19" s="3" t="d">
        <x:v>2026-10-21T09:43:49.697Z</x:v>
      </x:c>
    </x:row>
    <x:row r="20" ht="110" customHeight="1">
      <x:c r="A20" s="3" t="str">
        <x:v>S011</x:v>
      </x:c>
      <x:c r="B20" s="3" t="str">
        <x:v>P011</x:v>
      </x:c>
      <x:c r="C20" s="3" t="str">
        <x:v>IC1</x:v>
      </x:c>
      <x:c r="D20" s="3" t="str">
        <x:v>Final-version condition open</x:v>
      </x:c>
      <x:c r="E20" s="3" t="str">
        <x:v>SC24/author records confirm peer-reviewed publication, but numerical source is arXivv1 and final-text equivalence is not established.</x:v>
      </x:c>
      <x:c r="F20" s="3" t="str">
        <x:v>SC24 official record; author publication page; arXivv1 title page</x:v>
      </x:c>
      <x:c r="G20" s="3" t="str">
        <x:v>AI assistant under Raazia direction</x:v>
      </x:c>
      <x:c r="H20" s="3" t="d">
        <x:v>2026-10-21T09:43:49.697Z</x:v>
      </x:c>
    </x:row>
    <x:row r="21" ht="110" customHeight="1">
      <x:c r="A21" s="3" t="str">
        <x:v>S011</x:v>
      </x:c>
      <x:c r="B21" s="3" t="str">
        <x:v>P011</x:v>
      </x:c>
      <x:c r="C21" s="3" t="str">
        <x:v>IC2</x:v>
      </x:c>
      <x:c r="D21" s="3" t="str">
        <x:v>Supported</x:v>
      </x:c>
      <x:c r="E21" s="3" t="str">
        <x:v>MPS processes within a MIG instance</x:v>
      </x:c>
      <x:c r="F21" s="3" t="str">
        <x:v>arXiv v1 PDF pp4-8; sectionIII</x:v>
      </x:c>
      <x:c r="G21" s="3" t="str">
        <x:v>AI assistant under Raazia direction</x:v>
      </x:c>
      <x:c r="H21" s="3" t="d">
        <x:v>2026-10-21T09:43:49.697Z</x:v>
      </x:c>
    </x:row>
    <x:row r="22" ht="110" customHeight="1">
      <x:c r="A22" s="3" t="str">
        <x:v>S011</x:v>
      </x:c>
      <x:c r="B22" s="3" t="str">
        <x:v>P011</x:v>
      </x:c>
      <x:c r="C22" s="3" t="str">
        <x:v>IC3</x:v>
      </x:c>
      <x:c r="D22" s="3" t="str">
        <x:v>Supported</x:v>
      </x:c>
      <x:c r="E22" s="3" t="str">
        <x:v>Inference workload is explicit; training/rendering outcomes are kept separate where present.</x:v>
      </x:c>
      <x:c r="F22" s="3" t="str">
        <x:v>arXiv v1 PDF pp4-5; Figures3-4</x:v>
      </x:c>
      <x:c r="G22" s="3" t="str">
        <x:v>AI assistant under Raazia direction</x:v>
      </x:c>
      <x:c r="H22" s="3" t="d">
        <x:v>2026-10-21T09:43:49.697Z</x:v>
      </x:c>
    </x:row>
    <x:row r="23" ht="110" customHeight="1">
      <x:c r="A23" s="3" t="str">
        <x:v>S011</x:v>
      </x:c>
      <x:c r="B23" s="3" t="str">
        <x:v>P011</x:v>
      </x:c>
      <x:c r="C23" s="3" t="str">
        <x:v>IC4</x:v>
      </x:c>
      <x:c r="D23" s="3" t="str">
        <x:v>Supported</x:v>
      </x:c>
      <x:c r="E23" s="3" t="str">
        <x:v>Retained outcome values and methods are inspectable in the accessed source.</x:v>
      </x:c>
      <x:c r="F23" s="3" t="str">
        <x:v>arXiv v1 PDF p5; sectionIII-B; Figures3-4 on p4; arXiv v1 PDF p5; sectionIII-B; Figures3-4 on p4</x:v>
      </x:c>
      <x:c r="G23" s="3" t="str">
        <x:v>AI assistant under Raazia direction</x:v>
      </x:c>
      <x:c r="H23" s="3" t="d">
        <x:v>2026-10-21T09:43:49.697Z</x:v>
      </x:c>
    </x:row>
    <x:row r="24" ht="110" customHeight="1">
      <x:c r="A24" s="3" t="str">
        <x:v>S011</x:v>
      </x:c>
      <x:c r="B24" s="3" t="str">
        <x:v>P011</x:v>
      </x:c>
      <x:c r="C24" s="3" t="str">
        <x:v>IC5</x:v>
      </x:c>
      <x:c r="D24" s="3" t="str">
        <x:v>Supported</x:v>
      </x:c>
      <x:c r="E24" s="3" t="str">
        <x:v>Extracted evidence concerns co-tenancy or control on one physical GPU; fleet-only outcomes not substituted.</x:v>
      </x:c>
      <x:c r="F24" s="3" t="str">
        <x:v>arXiv v1 PDF pp4-5; Figures3-4</x:v>
      </x:c>
      <x:c r="G24" s="3" t="str">
        <x:v>AI assistant under Raazia direction</x:v>
      </x:c>
      <x:c r="H24" s="3" t="d">
        <x:v>2026-10-21T09:43:49.697Z</x:v>
      </x:c>
    </x:row>
    <x:row r="25" ht="110" customHeight="1">
      <x:c r="A25" s="3" t="str">
        <x:v>S011</x:v>
      </x:c>
      <x:c r="B25" s="3" t="str">
        <x:v>P011</x:v>
      </x:c>
      <x:c r="C25" s="3" t="str">
        <x:v>IC6</x:v>
      </x:c>
      <x:c r="D25" s="3" t="str">
        <x:v>Supported</x:v>
      </x:c>
      <x:c r="E25" s="3" t="str">
        <x:v>2024 is within the submitted2020-2026 window.</x:v>
      </x:c>
      <x:c r="F25" s="3" t="str">
        <x:v>Conference title page / source identity</x:v>
      </x:c>
      <x:c r="G25" s="3" t="str">
        <x:v>AI assistant under Raazia direction</x:v>
      </x:c>
      <x:c r="H25" s="3" t="d">
        <x:v>2026-10-21T09:43:49.697Z</x:v>
      </x:c>
    </x:row>
    <x:row r="26" ht="110" customHeight="1">
      <x:c r="A26" s="3" t="str">
        <x:v>S012</x:v>
      </x:c>
      <x:c r="B26" s="3" t="str">
        <x:v>P012</x:v>
      </x:c>
      <x:c r="C26" s="3" t="str">
        <x:v>IC1</x:v>
      </x:c>
      <x:c r="D26" s="3" t="str">
        <x:v>Supported by accessed conference copy</x:v>
      </x:c>
      <x:c r="E26" s="3" t="str">
        <x:v>Conference title/authors/year matched in full text.</x:v>
      </x:c>
      <x:c r="F26" s="3" t="str">
        <x:v>PDF title/cover page</x:v>
      </x:c>
      <x:c r="G26" s="3" t="str">
        <x:v>AI assistant under Raazia direction</x:v>
      </x:c>
      <x:c r="H26" s="3" t="d">
        <x:v>2026-10-21T09:43:49.697Z</x:v>
      </x:c>
    </x:row>
    <x:row r="27" ht="110" customHeight="1">
      <x:c r="A27" s="3" t="str">
        <x:v>S012</x:v>
      </x:c>
      <x:c r="B27" s="3" t="str">
        <x:v>P012</x:v>
      </x:c>
      <x:c r="C27" s="3" t="str">
        <x:v>IC2</x:v>
      </x:c>
      <x:c r="D27" s="3" t="str">
        <x:v>Supported</x:v>
      </x:c>
      <x:c r="E27" s="3" t="str">
        <x:v>Many low-rate inference functions temporally share one GPU</x:v>
      </x:c>
      <x:c r="F27" s="3" t="str">
        <x:v>PDF pp5-9; sections4-6</x:v>
      </x:c>
      <x:c r="G27" s="3" t="str">
        <x:v>AI assistant under Raazia direction</x:v>
      </x:c>
      <x:c r="H27" s="3" t="d">
        <x:v>2026-10-21T09:43:49.697Z</x:v>
      </x:c>
    </x:row>
    <x:row r="28" ht="110" customHeight="1">
      <x:c r="A28" s="3" t="str">
        <x:v>S012</x:v>
      </x:c>
      <x:c r="B28" s="3" t="str">
        <x:v>P012</x:v>
      </x:c>
      <x:c r="C28" s="3" t="str">
        <x:v>IC3</x:v>
      </x:c>
      <x:c r="D28" s="3" t="str">
        <x:v>Supported</x:v>
      </x:c>
      <x:c r="E28" s="3" t="str">
        <x:v>Inference workload is explicit; training/rendering outcomes are kept separate where present.</x:v>
      </x:c>
      <x:c r="F28" s="3" t="str">
        <x:v>PDF pp10-11; Figure8; section7.2</x:v>
      </x:c>
      <x:c r="G28" s="3" t="str">
        <x:v>AI assistant under Raazia direction</x:v>
      </x:c>
      <x:c r="H28" s="3" t="d">
        <x:v>2026-10-21T09:43:49.697Z</x:v>
      </x:c>
    </x:row>
    <x:row r="29" ht="110" customHeight="1">
      <x:c r="A29" s="3" t="str">
        <x:v>S012</x:v>
      </x:c>
      <x:c r="B29" s="3" t="str">
        <x:v>P012</x:v>
      </x:c>
      <x:c r="C29" s="3" t="str">
        <x:v>IC4</x:v>
      </x:c>
      <x:c r="D29" s="3" t="str">
        <x:v>Supported</x:v>
      </x:c>
      <x:c r="E29" s="3" t="str">
        <x:v>Retained outcome values and methods are inspectable in the accessed source.</x:v>
      </x:c>
      <x:c r="F29" s="3" t="str">
        <x:v>USENIX PDF pp10-11; printed pp605-606; Figure8 and section7.2; USENIX PDF pp10-11; printed pp605-606; default P98 metrics and section7.2</x:v>
      </x:c>
      <x:c r="G29" s="3" t="str">
        <x:v>AI assistant under Raazia direction</x:v>
      </x:c>
      <x:c r="H29" s="3" t="d">
        <x:v>2026-10-21T09:43:49.697Z</x:v>
      </x:c>
    </x:row>
    <x:row r="30" ht="110" customHeight="1">
      <x:c r="A30" s="3" t="str">
        <x:v>S012</x:v>
      </x:c>
      <x:c r="B30" s="3" t="str">
        <x:v>P012</x:v>
      </x:c>
      <x:c r="C30" s="3" t="str">
        <x:v>IC5</x:v>
      </x:c>
      <x:c r="D30" s="3" t="str">
        <x:v>Supported</x:v>
      </x:c>
      <x:c r="E30" s="3" t="str">
        <x:v>Extracted evidence concerns co-tenancy or control on one physical GPU; fleet-only outcomes not substituted.</x:v>
      </x:c>
      <x:c r="F30" s="3" t="str">
        <x:v>PDF pp10-11; Figure8; section7.2</x:v>
      </x:c>
      <x:c r="G30" s="3" t="str">
        <x:v>AI assistant under Raazia direction</x:v>
      </x:c>
      <x:c r="H30" s="3" t="d">
        <x:v>2026-10-21T09:43:49.697Z</x:v>
      </x:c>
    </x:row>
    <x:row r="31" ht="110" customHeight="1">
      <x:c r="A31" s="3" t="str">
        <x:v>S012</x:v>
      </x:c>
      <x:c r="B31" s="3" t="str">
        <x:v>P012</x:v>
      </x:c>
      <x:c r="C31" s="3" t="str">
        <x:v>IC6</x:v>
      </x:c>
      <x:c r="D31" s="3" t="str">
        <x:v>Supported</x:v>
      </x:c>
      <x:c r="E31" s="3" t="str">
        <x:v>2025 is within the submitted2020-2026 window.</x:v>
      </x:c>
      <x:c r="F31" s="3" t="str">
        <x:v>Conference title page / source identity</x:v>
      </x:c>
      <x:c r="G31" s="3" t="str">
        <x:v>AI assistant under Raazia direction</x:v>
      </x:c>
      <x:c r="H31" s="3" t="d">
        <x:v>2026-10-21T09:43:49.697Z</x:v>
      </x:c>
    </x:row>
    <x:row r="32" ht="110" customHeight="1">
      <x:c r="A32" s="3" t="str">
        <x:v>S013</x:v>
      </x:c>
      <x:c r="B32" s="3" t="str">
        <x:v>P013</x:v>
      </x:c>
      <x:c r="C32" s="3" t="str">
        <x:v>IC1</x:v>
      </x:c>
      <x:c r="D32" s="3" t="str">
        <x:v>Supported by accessed conference copy</x:v>
      </x:c>
      <x:c r="E32" s="3" t="str">
        <x:v>Conference title/authors/year matched in full text.</x:v>
      </x:c>
      <x:c r="F32" s="3" t="str">
        <x:v>PDF title/cover page</x:v>
      </x:c>
      <x:c r="G32" s="3" t="str">
        <x:v>AI assistant under Raazia direction</x:v>
      </x:c>
      <x:c r="H32" s="3" t="d">
        <x:v>2026-10-21T09:43:49.697Z</x:v>
      </x:c>
    </x:row>
    <x:row r="33" ht="110" customHeight="1">
      <x:c r="A33" s="3" t="str">
        <x:v>S013</x:v>
      </x:c>
      <x:c r="B33" s="3" t="str">
        <x:v>P013</x:v>
      </x:c>
      <x:c r="C33" s="3" t="str">
        <x:v>IC2</x:v>
      </x:c>
      <x:c r="D33" s="3" t="str">
        <x:v>Supported</x:v>
      </x:c>
      <x:c r="E33" s="3" t="str">
        <x:v>Streams and runtime/API sharing across inference workflows</x:v>
      </x:c>
      <x:c r="F33" s="3" t="str">
        <x:v>PDF pp5-10; sections3-8</x:v>
      </x:c>
      <x:c r="G33" s="3" t="str">
        <x:v>AI assistant under Raazia direction</x:v>
      </x:c>
      <x:c r="H33" s="3" t="d">
        <x:v>2026-10-21T09:43:49.697Z</x:v>
      </x:c>
    </x:row>
    <x:row r="34" ht="110" customHeight="1">
      <x:c r="A34" s="3" t="str">
        <x:v>S013</x:v>
      </x:c>
      <x:c r="B34" s="3" t="str">
        <x:v>P013</x:v>
      </x:c>
      <x:c r="C34" s="3" t="str">
        <x:v>IC3</x:v>
      </x:c>
      <x:c r="D34" s="3" t="str">
        <x:v>Supported</x:v>
      </x:c>
      <x:c r="E34" s="3" t="str">
        <x:v>Inference workload is explicit; training/rendering outcomes are kept separate where present.</x:v>
      </x:c>
      <x:c r="F34" s="3" t="str">
        <x:v>PDF p13; section9.4; Figure19</x:v>
      </x:c>
      <x:c r="G34" s="3" t="str">
        <x:v>AI assistant under Raazia direction</x:v>
      </x:c>
      <x:c r="H34" s="3" t="d">
        <x:v>2026-10-21T09:43:49.697Z</x:v>
      </x:c>
    </x:row>
    <x:row r="35" ht="110" customHeight="1">
      <x:c r="A35" s="3" t="str">
        <x:v>S013</x:v>
      </x:c>
      <x:c r="B35" s="3" t="str">
        <x:v>P013</x:v>
      </x:c>
      <x:c r="C35" s="3" t="str">
        <x:v>IC4</x:v>
      </x:c>
      <x:c r="D35" s="3" t="str">
        <x:v>Supported</x:v>
      </x:c>
      <x:c r="E35" s="3" t="str">
        <x:v>Retained outcome values and methods are inspectable in the accessed source.</x:v>
      </x:c>
      <x:c r="F35" s="3" t="str">
        <x:v>USENIX PDF p11; printed p68; section9.1; Figure13; USENIX PDF p13; printed p70; section9.3; Figure18</x:v>
      </x:c>
      <x:c r="G35" s="3" t="str">
        <x:v>AI assistant under Raazia direction</x:v>
      </x:c>
      <x:c r="H35" s="3" t="d">
        <x:v>2026-10-21T09:43:49.697Z</x:v>
      </x:c>
    </x:row>
    <x:row r="36" ht="110" customHeight="1">
      <x:c r="A36" s="3" t="str">
        <x:v>S013</x:v>
      </x:c>
      <x:c r="B36" s="3" t="str">
        <x:v>P013</x:v>
      </x:c>
      <x:c r="C36" s="3" t="str">
        <x:v>IC5</x:v>
      </x:c>
      <x:c r="D36" s="3" t="str">
        <x:v>Supported</x:v>
      </x:c>
      <x:c r="E36" s="3" t="str">
        <x:v>Extracted evidence concerns co-tenancy or control on one physical GPU; fleet-only outcomes not substituted.</x:v>
      </x:c>
      <x:c r="F36" s="3" t="str">
        <x:v>PDF p13; section9.4; Figure19</x:v>
      </x:c>
      <x:c r="G36" s="3" t="str">
        <x:v>AI assistant under Raazia direction</x:v>
      </x:c>
      <x:c r="H36" s="3" t="d">
        <x:v>2026-10-21T09:43:49.697Z</x:v>
      </x:c>
    </x:row>
    <x:row r="37" ht="110" customHeight="1">
      <x:c r="A37" s="3" t="str">
        <x:v>S013</x:v>
      </x:c>
      <x:c r="B37" s="3" t="str">
        <x:v>P013</x:v>
      </x:c>
      <x:c r="C37" s="3" t="str">
        <x:v>IC6</x:v>
      </x:c>
      <x:c r="D37" s="3" t="str">
        <x:v>Supported</x:v>
      </x:c>
      <x:c r="E37" s="3" t="str">
        <x:v>2024 is within the submitted2020-2026 window.</x:v>
      </x:c>
      <x:c r="F37" s="3" t="str">
        <x:v>Conference title page / source identity</x:v>
      </x:c>
      <x:c r="G37" s="3" t="str">
        <x:v>AI assistant under Raazia direction</x:v>
      </x:c>
      <x:c r="H37" s="3" t="d">
        <x:v>2026-10-21T09:43:49.697Z</x:v>
      </x:c>
    </x:row>
    <x:row r="38" ht="110" customHeight="1">
      <x:c r="A38" s="3" t="str">
        <x:v>S014</x:v>
      </x:c>
      <x:c r="B38" s="3" t="str">
        <x:v>P014</x:v>
      </x:c>
      <x:c r="C38" s="3" t="str">
        <x:v>IC1</x:v>
      </x:c>
      <x:c r="D38" s="3" t="str">
        <x:v>Supported by accessed conference copy</x:v>
      </x:c>
      <x:c r="E38" s="3" t="str">
        <x:v>Conference title/authors/year matched in full text.</x:v>
      </x:c>
      <x:c r="F38" s="3" t="str">
        <x:v>PDF title/cover page</x:v>
      </x:c>
      <x:c r="G38" s="3" t="str">
        <x:v>AI assistant under Raazia direction</x:v>
      </x:c>
      <x:c r="H38" s="3" t="d">
        <x:v>2026-10-21T09:43:49.697Z</x:v>
      </x:c>
    </x:row>
    <x:row r="39" ht="110" customHeight="1">
      <x:c r="A39" s="3" t="str">
        <x:v>S014</x:v>
      </x:c>
      <x:c r="B39" s="3" t="str">
        <x:v>P014</x:v>
      </x:c>
      <x:c r="C39" s="3" t="str">
        <x:v>IC2</x:v>
      </x:c>
      <x:c r="D39" s="3" t="str">
        <x:v>Supported</x:v>
      </x:c>
      <x:c r="E39" s="3" t="str">
        <x:v>Kernel interception and temporal/MIG sharing with separate inference measurements</x:v>
      </x:c>
      <x:c r="F39" s="3" t="str">
        <x:v>PDF pp5-10; sections3-4</x:v>
      </x:c>
      <x:c r="G39" s="3" t="str">
        <x:v>AI assistant under Raazia direction</x:v>
      </x:c>
      <x:c r="H39" s="3" t="d">
        <x:v>2026-10-21T09:43:49.697Z</x:v>
      </x:c>
    </x:row>
    <x:row r="40" ht="110" customHeight="1">
      <x:c r="A40" s="3" t="str">
        <x:v>S014</x:v>
      </x:c>
      <x:c r="B40" s="3" t="str">
        <x:v>P014</x:v>
      </x:c>
      <x:c r="C40" s="3" t="str">
        <x:v>IC3</x:v>
      </x:c>
      <x:c r="D40" s="3" t="str">
        <x:v>Supported</x:v>
      </x:c>
      <x:c r="E40" s="3" t="str">
        <x:v>Inference workload is explicit; training/rendering outcomes are kept separate where present.</x:v>
      </x:c>
      <x:c r="F40" s="3" t="str">
        <x:v>PDF p13; sections5.5-5.6</x:v>
      </x:c>
      <x:c r="G40" s="3" t="str">
        <x:v>AI assistant under Raazia direction</x:v>
      </x:c>
      <x:c r="H40" s="3" t="d">
        <x:v>2026-10-21T09:43:49.697Z</x:v>
      </x:c>
    </x:row>
    <x:row r="41" ht="110" customHeight="1">
      <x:c r="A41" s="3" t="str">
        <x:v>S014</x:v>
      </x:c>
      <x:c r="B41" s="3" t="str">
        <x:v>P014</x:v>
      </x:c>
      <x:c r="C41" s="3" t="str">
        <x:v>IC4</x:v>
      </x:c>
      <x:c r="D41" s="3" t="str">
        <x:v>Supported</x:v>
      </x:c>
      <x:c r="E41" s="3" t="str">
        <x:v>Retained outcome values and methods are inspectable in the accessed source.</x:v>
      </x:c>
      <x:c r="F41" s="3" t="str">
        <x:v>USENIX PDF pp12-13; printed pp1013-1014; section5.5; Figure17; USENIX PDF p13; printed p1014; section5.7</x:v>
      </x:c>
      <x:c r="G41" s="3" t="str">
        <x:v>AI assistant under Raazia direction</x:v>
      </x:c>
      <x:c r="H41" s="3" t="d">
        <x:v>2026-10-21T09:43:49.697Z</x:v>
      </x:c>
    </x:row>
    <x:row r="42" ht="110" customHeight="1">
      <x:c r="A42" s="3" t="str">
        <x:v>S014</x:v>
      </x:c>
      <x:c r="B42" s="3" t="str">
        <x:v>P014</x:v>
      </x:c>
      <x:c r="C42" s="3" t="str">
        <x:v>IC5</x:v>
      </x:c>
      <x:c r="D42" s="3" t="str">
        <x:v>Supported</x:v>
      </x:c>
      <x:c r="E42" s="3" t="str">
        <x:v>Extracted evidence concerns co-tenancy or control on one physical GPU; fleet-only outcomes not substituted.</x:v>
      </x:c>
      <x:c r="F42" s="3" t="str">
        <x:v>PDF p13; sections5.5-5.6</x:v>
      </x:c>
      <x:c r="G42" s="3" t="str">
        <x:v>AI assistant under Raazia direction</x:v>
      </x:c>
      <x:c r="H42" s="3" t="d">
        <x:v>2026-10-21T09:43:49.697Z</x:v>
      </x:c>
    </x:row>
    <x:row r="43" ht="110" customHeight="1">
      <x:c r="A43" s="3" t="str">
        <x:v>S014</x:v>
      </x:c>
      <x:c r="B43" s="3" t="str">
        <x:v>P014</x:v>
      </x:c>
      <x:c r="C43" s="3" t="str">
        <x:v>IC6</x:v>
      </x:c>
      <x:c r="D43" s="3" t="str">
        <x:v>Supported</x:v>
      </x:c>
      <x:c r="E43" s="3" t="str">
        <x:v>2025 is within the submitted2020-2026 window.</x:v>
      </x:c>
      <x:c r="F43" s="3" t="str">
        <x:v>Conference title page / source identity</x:v>
      </x:c>
      <x:c r="G43" s="3" t="str">
        <x:v>AI assistant under Raazia direction</x:v>
      </x:c>
      <x:c r="H43" s="3" t="d">
        <x:v>2026-10-21T09:43:49.697Z</x:v>
      </x:c>
    </x:row>
  </x:sheetData>
  <x:pageMargins left="0.7" right="0.7" top="0.75" bottom="0.75" header="0.3" footer="0.3"/>
  <x:tableParts count="1">
    <x:tablePart xmlns:r="http://schemas.openxmlformats.org/officeDocument/2006/relationships" r:id="R5af217045adc4413"/>
  </x:tableParts>
</x:worksheet>
</file>